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Supuestos" sheetId="2" state="visible" r:id="rId4"/>
    <sheet name="Resumen" sheetId="3" state="visible" r:id="rId5"/>
    <sheet name="Comparación" sheetId="4" state="visible" r:id="rId6"/>
    <sheet name="Pesimista" sheetId="5" state="visible" r:id="rId7"/>
    <sheet name="Base" sheetId="6" state="visible" r:id="rId8"/>
    <sheet name="Optimist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<sst xmlns="http://schemas.openxmlformats.org/spreadsheetml/2006/main" count="695" uniqueCount="288">
  <si>
    <t xml:space="preserve">StockPilot — Modelo financiero a 5 años</t>
  </si>
  <si>
    <t xml:space="preserve">Práctica de Ingeniería V · Formato de las preguntas 21 a 26 de la guía del Fondo Emprender</t>
  </si>
  <si>
    <t xml:space="preserve">Cómo usar el modelo</t>
  </si>
  <si>
    <t xml:space="preserve">1. Todos los supuestos están en la hoja "Supuestos". Solo se editan las celdas en azul; las de fondo amarillo son los supuestos clave.</t>
  </si>
  <si>
    <t xml:space="preserve">2. Las hojas "Pesimista", "Base" y "Optimista" calculan mes a mes (60 meses) y resumen por año. No se editan: todo son fórmulas.</t>
  </si>
  <si>
    <t xml:space="preserve">3. La hoja "Resumen" muestra el escenario elegido en Supuestos!C5 (1 = Pesimista, 2 = Base, 3 = Optimista) con la estructura del Fondo Emprender.</t>
  </si>
  <si>
    <t xml:space="preserve">4. La hoja "Comparación" pone los tres escenarios lado a lado.</t>
  </si>
  <si>
    <t xml:space="preserve">5. Supuestos!C8 define cómo crece el equipo: 1 = según la carga de trabajo (recomendado); 2 = calendario de contratación del plan de negocio original.</t>
  </si>
  <si>
    <t xml:space="preserve">Convenciones de color</t>
  </si>
  <si>
    <t xml:space="preserve">Azul: dato de entrada editable · Negro: fórmula · Verde: vínculo a otra hoja · Fondo amarillo: supuesto clave.</t>
  </si>
  <si>
    <t xml:space="preserve">Cómo se calcula la nómina</t>
  </si>
  <si>
    <t xml:space="preserve">Costo mensual de un empleado = salario × (1 + aportes del empleador + prestaciones) + auxilio de transporte × (1 + prestaciones que lo incluyen), si el salario es ≤ 2 SMMLV.</t>
  </si>
  <si>
    <t xml:space="preserve">Se supone que la SAS está exonerada de salud, SENA e ICBF (art. 114-1 del Estatuto Tributario) por salarios menores a 10 SMMLV. Confirmar con un contador.</t>
  </si>
  <si>
    <t xml:space="preserve">Cómo crece el equipo en el modo 1 (carga de trabajo)</t>
  </si>
  <si>
    <t xml:space="preserve">Horas requeridas = soporte (minutos por cliente activo) + incorporación (horas por cliente nuevo) + ventas (horas por cliente nuevo) + desarrollo (base + adicional por cada 100 clientes).</t>
  </si>
  <si>
    <t xml:space="preserve">Si las horas requeridas superan la capacidad de los fundadores, se contratan colaboradores: ROUNDUP((horas requeridas − capacidad) / horas por colaborador).</t>
  </si>
  <si>
    <t xml:space="preserve">Fuentes y advertencias</t>
  </si>
  <si>
    <t xml:space="preserve">SMMLV 2026 ($1.750.905) y auxilio de transporte ($249.095): Infobae, 14-abr-2026; el decreto sigue en litigio ante el Consejo de Estado. Actualizar si cambia.</t>
  </si>
  <si>
    <t xml:space="preserve">Precio de referencia de la competencia: Treinta, plan Esencial $39.900/mes y plan Pro $79.900/mes (treinta.co/planes-y-precios, consultado sept. 2026).</t>
  </si>
  <si>
    <t xml:space="preserve">IVA: la DIAN ha conceptuado que los servicios de computación en la nube están excluidos de IVA (art. 476, num. 24 ET). El modelo supone el precio sin IVA; confirmar con un contador.</t>
  </si>
  <si>
    <t xml:space="preserve">Precio, costos de IA, nube, marketing del año 1 y gastos de administración: Plan de Negocio de StockPilot (2026).</t>
  </si>
  <si>
    <t xml:space="preserve">Metas de clientes, abandono, horas de trabajo y niveles de infraestructura de los años 2 a 5: supuestos del equipo para análisis. No son datos observados.</t>
  </si>
  <si>
    <t xml:space="preserve">Mientras los fundadores no cobran salario, su trabajo es la inversión real del proyecto. El modelo lo valora como memo (aporte en especie, útil como contrapartida) pero no lo incluye en el flujo de caja; por eso la TIR puede verse muy alta con una inversión en efectivo tan pequeña. Interprete el VPN y la necesidad de caja junto con ese aporte.</t>
  </si>
  <si>
    <t xml:space="preserve">El impuesto de renta se calcula anual (tarifa general del 35 %) con compensación de pérdidas de años anteriores.</t>
  </si>
  <si>
    <t xml:space="preserve">Trabajo desde casa y equipos (v2): mientras los fundadores no cobran, el proyecto les reembolsa la energía y la parte del internet del hogar que usan para trabajar; además reserva cada mes el costo de reponer sus portátiles (vida útil de 5 años) y compra un portátil por cada colaborador nuevo. Desde el mes con salario, el auxilio de conectividad (mismo valor que el de transporte ya incluido en la nómina) cubre la energía y el internet. Supuestos en Supuestos!A82:F89.</t>
  </si>
  <si>
    <t xml:space="preserve">Supuestos del modelo</t>
  </si>
  <si>
    <t xml:space="preserve">Editar solo las celdas en azul. Cada supuesto tiene su fuente o justificación en la columna F.</t>
  </si>
  <si>
    <t xml:space="preserve">Controles</t>
  </si>
  <si>
    <t xml:space="preserve">Escenario que muestra la hoja Resumen</t>
  </si>
  <si>
    <t xml:space="preserve">1 = Pesimista, 2 = Base, 3 = Optimista</t>
  </si>
  <si>
    <t xml:space="preserve"> </t>
  </si>
  <si>
    <t xml:space="preserve">Modo de crecimiento del equipo</t>
  </si>
  <si>
    <t xml:space="preserve">1 = según carga de trabajo (recomendado); 2 = calendario del plan de negocio original</t>
  </si>
  <si>
    <t xml:space="preserve">Supuestos por escenario</t>
  </si>
  <si>
    <t xml:space="preserve">Pesimista</t>
  </si>
  <si>
    <t xml:space="preserve">Base</t>
  </si>
  <si>
    <t xml:space="preserve">Optimista</t>
  </si>
  <si>
    <t xml:space="preserve">Clientes activos al cierre del año 1</t>
  </si>
  <si>
    <t xml:space="preserve">Base: meta del Plan de Negocio</t>
  </si>
  <si>
    <t xml:space="preserve">Clientes activos al cierre del año 2</t>
  </si>
  <si>
    <t xml:space="preserve">Base: SOM año 2 del Plan de Negocio</t>
  </si>
  <si>
    <t xml:space="preserve">Clientes activos al cierre del año 3</t>
  </si>
  <si>
    <t xml:space="preserve">Base: SOM año 3 del Plan de Negocio</t>
  </si>
  <si>
    <t xml:space="preserve">Clientes activos al cierre del año 4</t>
  </si>
  <si>
    <t xml:space="preserve">Supuesto: inicio de expansión a otras ciudades</t>
  </si>
  <si>
    <t xml:space="preserve">Clientes activos al cierre del año 5</t>
  </si>
  <si>
    <t xml:space="preserve">Supuesto: ≈ 2,7 % de las tiendas de Bogotá en el escenario base</t>
  </si>
  <si>
    <t xml:space="preserve">Abandono mensual de clientes (churn)</t>
  </si>
  <si>
    <t xml:space="preserve">El plan usa 5 % mensual y 90 % anual en secciones distintas; 3 % es un punto intermedio</t>
  </si>
  <si>
    <t xml:space="preserve">Marketing por cliente nuevo (CAC sin salarios)</t>
  </si>
  <si>
    <t xml:space="preserve">Base calibrada para que el año 1 cueste ≈ $9M, como en el Plan de Negocio (tabla 17.3)</t>
  </si>
  <si>
    <t xml:space="preserve">Mes en que los fundadores empiezan a recibir salario</t>
  </si>
  <si>
    <t xml:space="preserve">Mes 25 = inicio del año 3</t>
  </si>
  <si>
    <t xml:space="preserve">Rampa de clientes del año 1 (fracción de la meta del año 1 al cierre de cada mes)</t>
  </si>
  <si>
    <t xml:space="preserve">Mes</t>
  </si>
  <si>
    <t xml:space="preserve">Fracción de la meta del año 1</t>
  </si>
  <si>
    <t xml:space="preserve">Fuente: tabla 8.2 del Plan de Negocio (10 clientes en el mes 1 hasta 120 en el mes 12).</t>
  </si>
  <si>
    <t xml:space="preserve">Ingresos</t>
  </si>
  <si>
    <t xml:space="preserve">Precio mensual por tienda (año 1, sin IVA)</t>
  </si>
  <si>
    <t xml:space="preserve">COP/mes</t>
  </si>
  <si>
    <t xml:space="preserve">Plan de Negocio; igual al plan Esencial de Treinta</t>
  </si>
  <si>
    <t xml:space="preserve">Ajuste anual del precio</t>
  </si>
  <si>
    <t xml:space="preserve">%</t>
  </si>
  <si>
    <t xml:space="preserve">Supuesto: ajuste cercano a la inflación</t>
  </si>
  <si>
    <t xml:space="preserve">Costos variables</t>
  </si>
  <si>
    <t xml:space="preserve">Costo de IA (OpenAI) por cliente activo</t>
  </si>
  <si>
    <t xml:space="preserve">Plan de Negocio: $150.000/mes para 120 clientes</t>
  </si>
  <si>
    <t xml:space="preserve">Comisión de pasarela de pagos</t>
  </si>
  <si>
    <t xml:space="preserve">% ingreso</t>
  </si>
  <si>
    <t xml:space="preserve">Supuesto (Wompi/PayU); no estaba en el plan</t>
  </si>
  <si>
    <t xml:space="preserve">Infraestructura en la nube hasta el umbral 1</t>
  </si>
  <si>
    <t xml:space="preserve">Plan de Negocio: Render + Neon</t>
  </si>
  <si>
    <t xml:space="preserve">Umbral 1 de clientes</t>
  </si>
  <si>
    <t xml:space="preserve">clientes</t>
  </si>
  <si>
    <t xml:space="preserve">Supuesto</t>
  </si>
  <si>
    <t xml:space="preserve">Infraestructura en la nube hasta el umbral 2</t>
  </si>
  <si>
    <t xml:space="preserve">Supuesto: plan superior de base de datos y servidor</t>
  </si>
  <si>
    <t xml:space="preserve">Umbral 2 de clientes</t>
  </si>
  <si>
    <t xml:space="preserve">Infraestructura en la nube por encima del umbral 2</t>
  </si>
  <si>
    <t xml:space="preserve">Nómina</t>
  </si>
  <si>
    <t xml:space="preserve">SMMLV 2026</t>
  </si>
  <si>
    <t xml:space="preserve">Infobae, 14-abr-2026 (decreto en litigio; actualizar si cambia)</t>
  </si>
  <si>
    <t xml:space="preserve">Auxilio de transporte 2026</t>
  </si>
  <si>
    <t xml:space="preserve">Infobae, 14-abr-2026. Aplica a salarios ≤ 2 SMMLV</t>
  </si>
  <si>
    <t xml:space="preserve">Ajuste anual de salarios, SMMLV y gastos</t>
  </si>
  <si>
    <t xml:space="preserve">Aporte a pensión (empleador)</t>
  </si>
  <si>
    <t xml:space="preserve">% salario</t>
  </si>
  <si>
    <t xml:space="preserve">Ley 100 de 1993</t>
  </si>
  <si>
    <t xml:space="preserve">ARL riesgo I</t>
  </si>
  <si>
    <t xml:space="preserve">Decreto 1772 de 1994</t>
  </si>
  <si>
    <t xml:space="preserve">Caja de compensación</t>
  </si>
  <si>
    <t xml:space="preserve">Ley 21 de 1982</t>
  </si>
  <si>
    <t xml:space="preserve">Salud, SENA e ICBF (empleador)</t>
  </si>
  <si>
    <t xml:space="preserve">Exoneración art. 114-1 ET para SAS con salarios &lt; 10 SMMLV; verificar con contador</t>
  </si>
  <si>
    <t xml:space="preserve">Cesantías</t>
  </si>
  <si>
    <t xml:space="preserve">Código Sustantivo del Trabajo</t>
  </si>
  <si>
    <t xml:space="preserve">Intereses sobre cesantías</t>
  </si>
  <si>
    <t xml:space="preserve">12 % anual sobre las cesantías</t>
  </si>
  <si>
    <t xml:space="preserve">Prima de servicios</t>
  </si>
  <si>
    <t xml:space="preserve">Vacaciones</t>
  </si>
  <si>
    <t xml:space="preserve">15 días hábiles al año</t>
  </si>
  <si>
    <t xml:space="preserve">Factor prestacional total sobre el salario</t>
  </si>
  <si>
    <t xml:space="preserve">Fórmula: suma de los ocho conceptos anteriores</t>
  </si>
  <si>
    <t xml:space="preserve">Factor sobre el auxilio de transporte</t>
  </si>
  <si>
    <t xml:space="preserve">% auxilio</t>
  </si>
  <si>
    <t xml:space="preserve">Cesantías, intereses y prima incluyen el auxilio</t>
  </si>
  <si>
    <t xml:space="preserve">Salario de un colaborador (soporte, ventas o desarrollo)</t>
  </si>
  <si>
    <t xml:space="preserve">Plan de Negocio: comercial $2.000.000 y desarrollador $1.800.000</t>
  </si>
  <si>
    <t xml:space="preserve">Número de fundadores</t>
  </si>
  <si>
    <t xml:space="preserve">personas</t>
  </si>
  <si>
    <t xml:space="preserve">Equipo fundador</t>
  </si>
  <si>
    <t xml:space="preserve">Salario de cada fundador cuando empieza a cobrar</t>
  </si>
  <si>
    <t xml:space="preserve">Supuesto: salario de ingeniero junior en Bogotá</t>
  </si>
  <si>
    <t xml:space="preserve">Capacidad de trabajo</t>
  </si>
  <si>
    <t xml:space="preserve">Horas al mes de cada fundador, año 1</t>
  </si>
  <si>
    <t xml:space="preserve">horas</t>
  </si>
  <si>
    <t xml:space="preserve">Supuesto: medio tiempo mientras terminan la carrera</t>
  </si>
  <si>
    <t xml:space="preserve">Horas al mes de cada fundador, año 2</t>
  </si>
  <si>
    <t xml:space="preserve">Horas al mes de cada fundador, años 3 a 5</t>
  </si>
  <si>
    <t xml:space="preserve">Supuesto: tiempo completo</t>
  </si>
  <si>
    <t xml:space="preserve">Horas productivas al mes de un colaborador</t>
  </si>
  <si>
    <t xml:space="preserve">Jornada completa descontando reuniones y ausencias</t>
  </si>
  <si>
    <t xml:space="preserve">Minutos de soporte por cliente activo al mes</t>
  </si>
  <si>
    <t xml:space="preserve">minutos</t>
  </si>
  <si>
    <t xml:space="preserve">Supuesto: consultas por WhatsApp y ajustes</t>
  </si>
  <si>
    <t xml:space="preserve">Horas de incorporación por cliente nuevo</t>
  </si>
  <si>
    <t xml:space="preserve">Plan de Negocio, sección 13 (activación ≈ 1,7 h)</t>
  </si>
  <si>
    <t xml:space="preserve">Horas de venta por cliente nuevo</t>
  </si>
  <si>
    <t xml:space="preserve">Supuesto: demostraciones y visitas con tasa de cierre de 25 %</t>
  </si>
  <si>
    <t xml:space="preserve">Horas de desarrollo y mantenimiento base al mes</t>
  </si>
  <si>
    <t xml:space="preserve">Supuesto: correcciones, seguridad, respaldos y mejoras</t>
  </si>
  <si>
    <t xml:space="preserve">Horas de desarrollo adicionales por cada 100 clientes</t>
  </si>
  <si>
    <t xml:space="preserve">Gastos fijos</t>
  </si>
  <si>
    <t xml:space="preserve">Arriendo de coworking</t>
  </si>
  <si>
    <t xml:space="preserve">Plan de Negocio (tabla 17.3)</t>
  </si>
  <si>
    <t xml:space="preserve">Mes en que empieza el coworking</t>
  </si>
  <si>
    <t xml:space="preserve">mes</t>
  </si>
  <si>
    <t xml:space="preserve">Supuesto: trabajo remoto los dos primeros años</t>
  </si>
  <si>
    <t xml:space="preserve">Gastos administrativos y legales, año 1</t>
  </si>
  <si>
    <t xml:space="preserve">Gastos administrativos y legales desde el año 2</t>
  </si>
  <si>
    <t xml:space="preserve">Supuesto: contador externo</t>
  </si>
  <si>
    <t xml:space="preserve">Software y herramientas</t>
  </si>
  <si>
    <t xml:space="preserve">Dominio y SSL</t>
  </si>
  <si>
    <t xml:space="preserve">Plan de Negocio (tabla 17.2)</t>
  </si>
  <si>
    <t xml:space="preserve">Inversión, impuestos y evaluación</t>
  </si>
  <si>
    <t xml:space="preserve">Gastos preoperativos (constitución SAS, registros, dominio)</t>
  </si>
  <si>
    <t xml:space="preserve">COP</t>
  </si>
  <si>
    <t xml:space="preserve">Plan de Negocio (tabla 17.5)</t>
  </si>
  <si>
    <t xml:space="preserve">Marketing inicial (landing page y material)</t>
  </si>
  <si>
    <t xml:space="preserve">Equipos de cómputo (aporte en especie de los fundadores)</t>
  </si>
  <si>
    <t xml:space="preserve">Plan de Negocio: equipos preexistentes</t>
  </si>
  <si>
    <t xml:space="preserve">Tarifa de impuesto de renta</t>
  </si>
  <si>
    <t xml:space="preserve">Tarifa general de personas jurídicas</t>
  </si>
  <si>
    <t xml:space="preserve">Tasa de descuento (TIO) para el VPN</t>
  </si>
  <si>
    <t xml:space="preserve">Supuesto: rentabilidad mínima exigida por los socios</t>
  </si>
  <si>
    <t xml:space="preserve">Fuentes de financiación (se comparan con la necesidad de caja del escenario elegido en la hoja Resumen)</t>
  </si>
  <si>
    <t xml:space="preserve">Recursos propios (fundadores)</t>
  </si>
  <si>
    <t xml:space="preserve">Plan de Negocio, resumen ejecutivo</t>
  </si>
  <si>
    <t xml:space="preserve">Fondo Emprender (capital semilla, sujeto a aprobación)</t>
  </si>
  <si>
    <t xml:space="preserve">Otras fuentes (familiares, inversionista ángel)</t>
  </si>
  <si>
    <t xml:space="preserve">Trabajo desde casa y equipos</t>
  </si>
  <si>
    <t xml:space="preserve">Tarifa de energía residencial</t>
  </si>
  <si>
    <t xml:space="preserve">COP/kWh</t>
  </si>
  <si>
    <t xml:space="preserve">Enel Colombia, tarifa plena de agosto de 2026 (estrato 4). El estrato 3 paga esa misma tarifa por encima del consumo de subsistencia (130 kWh/mes), así que el consumo adicional del puesto de trabajo cuesta lo mismo en ambos estratos</t>
  </si>
  <si>
    <t xml:space="preserve">Consumo eléctrico del puesto de trabajo</t>
  </si>
  <si>
    <t xml:space="preserve">W</t>
  </si>
  <si>
    <t xml:space="preserve">Supuesto: portátil ≈ 45 W en uso de desarrollo + monitor ≈ 20 W + iluminación LED ≈ 10 W</t>
  </si>
  <si>
    <t xml:space="preserve">Plan de internet hogar</t>
  </si>
  <si>
    <t xml:space="preserve">Referencia: planes de 200 a 500 Mb en Bogotá entre $46.990 y $79.900 con IVA (comparadorinternet.co, jul-2026). Los planes de 100 Mb casi ya no se ofrecen</t>
  </si>
  <si>
    <t xml:space="preserve">Horas de uso del internet en el hogar</t>
  </si>
  <si>
    <t xml:space="preserve">horas/mes</t>
  </si>
  <si>
    <t xml:space="preserve">Supuesto: 16 horas al día. La parte que asume el proyecto es horas de trabajo ÷ 480</t>
  </si>
  <si>
    <t xml:space="preserve">Precio de un portátil con los requisitos mínimos</t>
  </si>
  <si>
    <t xml:space="preserve">Referencia: Lenovo IdeaPad Slim 3 (Ryzen 5 7520U, 16 GB, 512 GB SSD) a $2.299.900 en Homecenter, sept-2026. Requisitos en el Plan de Negocio, sección 12</t>
  </si>
  <si>
    <t xml:space="preserve">Vida útil de un portátil</t>
  </si>
  <si>
    <t xml:space="preserve">meses</t>
  </si>
  <si>
    <t xml:space="preserve">Tasa máxima de depreciación de equipos de cómputo: 20 % anual (Decreto 1625 de 2016, art. 1.2.1.18.4)</t>
  </si>
  <si>
    <t xml:space="preserve">Desde el mes en que los fundadores cobran salario, el auxilio de transporte que ya incluye la nómina se paga como auxilio de conectividad digital (mismo valor; Ley 2088 de 2021 y Ley 2121 de 2021) y cubre estos gastos, por eso se reembolsan solo mientras trabajan sin salario.</t>
  </si>
  <si>
    <t xml:space="preserve">Proyección financiera a 5 años — escenario seleccionado</t>
  </si>
  <si>
    <t xml:space="preserve">Millones de COP salvo indicación. Cambie el escenario en Supuestos!C5.</t>
  </si>
  <si>
    <t xml:space="preserve">21. Proyección de ingresos</t>
  </si>
  <si>
    <t xml:space="preserve">Concepto</t>
  </si>
  <si>
    <t xml:space="preserve">Año 0</t>
  </si>
  <si>
    <t xml:space="preserve">Año 1</t>
  </si>
  <si>
    <t xml:space="preserve">Año 2</t>
  </si>
  <si>
    <t xml:space="preserve">Año 3</t>
  </si>
  <si>
    <t xml:space="preserve">Año 4</t>
  </si>
  <si>
    <t xml:space="preserve">Año 5</t>
  </si>
  <si>
    <t xml:space="preserve">Clientes activos al cierre</t>
  </si>
  <si>
    <t xml:space="preserve">Clientes nuevos</t>
  </si>
  <si>
    <t xml:space="preserve">Clientes retirados</t>
  </si>
  <si>
    <t xml:space="preserve">Precio mensual (COP)</t>
  </si>
  <si>
    <t xml:space="preserve">22. Proyección de costos</t>
  </si>
  <si>
    <t xml:space="preserve">Costos de operación del servicio (IA, pasarela, nube)</t>
  </si>
  <si>
    <t xml:space="preserve">Margen bruto</t>
  </si>
  <si>
    <t xml:space="preserve">Margen bruto (%)</t>
  </si>
  <si>
    <t xml:space="preserve">23. Proyección de gastos</t>
  </si>
  <si>
    <t xml:space="preserve">Nómina de colaboradores</t>
  </si>
  <si>
    <t xml:space="preserve">Nómina de fundadores</t>
  </si>
  <si>
    <t xml:space="preserve">Marketing y adquisición</t>
  </si>
  <si>
    <t xml:space="preserve">Arriendo, administración, software, equipos y trabajo desde casa</t>
  </si>
  <si>
    <t xml:space="preserve">Total gastos operativos</t>
  </si>
  <si>
    <t xml:space="preserve">Resultado operativo (EBITDA)</t>
  </si>
  <si>
    <t xml:space="preserve">Impuesto de renta</t>
  </si>
  <si>
    <t xml:space="preserve">Utilidad neta</t>
  </si>
  <si>
    <t xml:space="preserve">Flujo de caja neto</t>
  </si>
  <si>
    <t xml:space="preserve">Flujo de caja acumulado</t>
  </si>
  <si>
    <t xml:space="preserve">Memo: trabajo no remunerado de los fundadores (aporte en especie)</t>
  </si>
  <si>
    <t xml:space="preserve">Personas en el equipo al cierre</t>
  </si>
  <si>
    <t xml:space="preserve">Punto de equilibrio (clientes activos)</t>
  </si>
  <si>
    <t xml:space="preserve">24. Inversiones (COP)</t>
  </si>
  <si>
    <t xml:space="preserve">Gastos preoperativos</t>
  </si>
  <si>
    <t xml:space="preserve">Marketing inicial</t>
  </si>
  <si>
    <t xml:space="preserve">Equipos de cómputo (aporte en especie)</t>
  </si>
  <si>
    <t xml:space="preserve">Total inversión inicial</t>
  </si>
  <si>
    <t xml:space="preserve">25. Capital de trabajo e indicadores</t>
  </si>
  <si>
    <t xml:space="preserve">VPN a la TIO (millones COP)</t>
  </si>
  <si>
    <t xml:space="preserve">TIR</t>
  </si>
  <si>
    <t xml:space="preserve">Año de recuperación de la inversión</t>
  </si>
  <si>
    <t xml:space="preserve">Necesidad máxima de caja (millones COP)</t>
  </si>
  <si>
    <t xml:space="preserve">Primer mes con resultado operativo positivo</t>
  </si>
  <si>
    <t xml:space="preserve">Capital de trabajo requerido (necesidad máxima de caja − inversión inicial, COP)</t>
  </si>
  <si>
    <t xml:space="preserve">26. Resumen de fuentes de financiación (COP)</t>
  </si>
  <si>
    <t xml:space="preserve">Fondo Emprender</t>
  </si>
  <si>
    <t xml:space="preserve">Otras fuentes</t>
  </si>
  <si>
    <t xml:space="preserve">Total fuentes identificadas</t>
  </si>
  <si>
    <t xml:space="preserve">Financiación requerida (necesidad máxima de caja)</t>
  </si>
  <si>
    <t xml:space="preserve">Brecha de financiación (negativo = faltan recursos)</t>
  </si>
  <si>
    <t xml:space="preserve">Comparación de escenarios</t>
  </si>
  <si>
    <t xml:space="preserve">Indicador</t>
  </si>
  <si>
    <t xml:space="preserve">Ingresos año 1 (millones COP)</t>
  </si>
  <si>
    <t xml:space="preserve">Ingresos año 5 (millones COP)</t>
  </si>
  <si>
    <t xml:space="preserve">Utilidad neta año 1 (millones COP)</t>
  </si>
  <si>
    <t xml:space="preserve">Utilidad neta año 5 (millones COP)</t>
  </si>
  <si>
    <t xml:space="preserve">Trabajo no remunerado de fundadores, 5 años (millones COP)</t>
  </si>
  <si>
    <t xml:space="preserve">Personas en el equipo al cierre del año 5</t>
  </si>
  <si>
    <t xml:space="preserve">Escenario Pesimista — proyección mensual (60 meses) y anual</t>
  </si>
  <si>
    <t xml:space="preserve">Índice del escenario</t>
  </si>
  <si>
    <t xml:space="preserve">Todo en esta hoja es fórmula. Para cambiar resultados, edite la hoja Supuestos.</t>
  </si>
  <si>
    <t xml:space="preserve">Año</t>
  </si>
  <si>
    <t xml:space="preserve">Mes del año</t>
  </si>
  <si>
    <t xml:space="preserve">Clientes</t>
  </si>
  <si>
    <t xml:space="preserve">Meta de clientes activos al cierre del mes</t>
  </si>
  <si>
    <t xml:space="preserve">Clientes al inicio del mes</t>
  </si>
  <si>
    <t xml:space="preserve">Clientes que se retiran</t>
  </si>
  <si>
    <t xml:space="preserve">Clientes activos al cierre del mes</t>
  </si>
  <si>
    <t xml:space="preserve">Ingresos y costos variables</t>
  </si>
  <si>
    <t xml:space="preserve">Precio mensual por tienda</t>
  </si>
  <si>
    <t xml:space="preserve">Costo de IA</t>
  </si>
  <si>
    <t xml:space="preserve">Infraestructura en la nube</t>
  </si>
  <si>
    <t xml:space="preserve">Total costos de operación del servicio</t>
  </si>
  <si>
    <t xml:space="preserve">Carga de trabajo y equipo</t>
  </si>
  <si>
    <t xml:space="preserve">Horas de soporte</t>
  </si>
  <si>
    <t xml:space="preserve">Horas de incorporación de clientes nuevos</t>
  </si>
  <si>
    <t xml:space="preserve">Horas de ventas</t>
  </si>
  <si>
    <t xml:space="preserve">Horas de desarrollo y mantenimiento</t>
  </si>
  <si>
    <t xml:space="preserve">Horas requeridas</t>
  </si>
  <si>
    <t xml:space="preserve">Capacidad de los fundadores</t>
  </si>
  <si>
    <t xml:space="preserve">Colaboradores contratados</t>
  </si>
  <si>
    <t xml:space="preserve">Costo total mensual por colaborador</t>
  </si>
  <si>
    <t xml:space="preserve">Fundadores con salario</t>
  </si>
  <si>
    <t xml:space="preserve">Costo total mensual por fundador</t>
  </si>
  <si>
    <t xml:space="preserve">Personas en el equipo (fundadores + colaboradores)</t>
  </si>
  <si>
    <t xml:space="preserve">Gastos operativos</t>
  </si>
  <si>
    <t xml:space="preserve">Nómina total</t>
  </si>
  <si>
    <t xml:space="preserve">Marketing y adquisición de clientes</t>
  </si>
  <si>
    <t xml:space="preserve">Gastos administrativos y legales</t>
  </si>
  <si>
    <t xml:space="preserve">Software, herramientas, dominio y SSL</t>
  </si>
  <si>
    <t xml:space="preserve">Caja acumulada antes de impuestos (incluye inversión inicial)</t>
  </si>
  <si>
    <t xml:space="preserve">Memo: valor del trabajo no remunerado de los fundadores</t>
  </si>
  <si>
    <t xml:space="preserve">Resumen anual (millones de COP salvo indicación)</t>
  </si>
  <si>
    <t xml:space="preserve">Clientes activos al cierre (número)</t>
  </si>
  <si>
    <t xml:space="preserve">Clientes nuevos en el año (número)</t>
  </si>
  <si>
    <t xml:space="preserve">Clientes retirados en el año (número)</t>
  </si>
  <si>
    <t xml:space="preserve">Pérdidas acumuladas por compensar al inicio</t>
  </si>
  <si>
    <t xml:space="preserve">Base gravable</t>
  </si>
  <si>
    <t xml:space="preserve">¿Recuperó la inversión? (1 = sí)</t>
  </si>
  <si>
    <t xml:space="preserve">Ingreso anual por persona del equipo</t>
  </si>
  <si>
    <t xml:space="preserve">Punto de equilibrio (clientes activos necesarios, promedio mensual del año)</t>
  </si>
  <si>
    <t xml:space="preserve">Indicadores de evaluación</t>
  </si>
  <si>
    <t xml:space="preserve">Fundadores trabajando sin salario desde casa</t>
  </si>
  <si>
    <t xml:space="preserve">Energía e internet del hogar (se reembolsan mientras no hay salario)</t>
  </si>
  <si>
    <t xml:space="preserve">Reserva de reposición de los portátiles de los fundadores</t>
  </si>
  <si>
    <t xml:space="preserve">Portátiles para colaboradores nuevos</t>
  </si>
  <si>
    <t xml:space="preserve">Total trabajo desde casa y equipos</t>
  </si>
  <si>
    <t xml:space="preserve">Memo: de lo anterior, trabajo desde casa y equipos (millones COP)</t>
  </si>
  <si>
    <t xml:space="preserve">Escenario Base — proyección mensual (60 meses) y anual</t>
  </si>
  <si>
    <t xml:space="preserve">Escenario Optimista — proyección mensual (60 meses) y anual</t>
  </si>
</sst>
</file>

<file path=xl/styles.xml><?xml version="1.0" encoding="utf-8"?>
<styleSheet xmlns="http://schemas.openxmlformats.org/spreadsheetml/2006/main">
  <numFmts count="10">
    <numFmt numFmtId="164" formatCode="General"/>
    <numFmt numFmtId="165" formatCode="0"/>
    <numFmt numFmtId="166" formatCode="#,##0;\(#,##0\);\-"/>
    <numFmt numFmtId="167" formatCode="0.0%;\(0.0%\);\-"/>
    <numFmt numFmtId="168" formatCode="\$#,##0;&quot;($&quot;#,##0\);\-"/>
    <numFmt numFmtId="169" formatCode="0%"/>
    <numFmt numFmtId="170" formatCode="0.000%"/>
    <numFmt numFmtId="171" formatCode="#,##0.0;\(#,##0.0\);\-"/>
    <numFmt numFmtId="172" formatCode="\$#,##0.00;&quot;($&quot;#,##0.00\);\-"/>
    <numFmt numFmtId="173"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71" fontId="9" fillId="3"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xf numFmtId="173" fontId="9"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t="s">
        <v>5</v>
      </c>
    </row>
    <row r="8" customFormat="false" ht="15" hidden="false" customHeight="true" outlineLevel="0" collapsed="false">
      <c r="A8" s="4" t="s">
        <v>6</v>
      </c>
    </row>
    <row r="9" customFormat="false" ht="15" hidden="false" customHeight="true" outlineLevel="0" collapsed="false">
      <c r="A9" s="4" t="s">
        <v>7</v>
      </c>
    </row>
    <row r="10" customFormat="false" ht="15" hidden="false" customHeight="true" outlineLevel="0" collapsed="false">
      <c r="A10" s="4"/>
    </row>
    <row r="11" customFormat="false" ht="15" hidden="false" customHeight="true" outlineLevel="0" collapsed="false">
      <c r="A11" s="5" t="s">
        <v>8</v>
      </c>
    </row>
    <row r="12" customFormat="false" ht="15" hidden="false" customHeight="true" outlineLevel="0" collapsed="false">
      <c r="A12" s="4" t="s">
        <v>9</v>
      </c>
    </row>
    <row r="13" customFormat="false" ht="15" hidden="false" customHeight="true" outlineLevel="0" collapsed="false">
      <c r="A13" s="4"/>
    </row>
    <row r="14" customFormat="false" ht="15" hidden="false" customHeight="true" outlineLevel="0" collapsed="false">
      <c r="A14" s="5" t="s">
        <v>10</v>
      </c>
    </row>
    <row r="15" customFormat="false" ht="23.25" hidden="false" customHeight="true" outlineLevel="0" collapsed="false">
      <c r="A15" s="4" t="s">
        <v>11</v>
      </c>
    </row>
    <row r="16" customFormat="false" ht="15" hidden="false" customHeight="true" outlineLevel="0" collapsed="false">
      <c r="A16" s="4" t="s">
        <v>12</v>
      </c>
    </row>
    <row r="17" customFormat="false" ht="15" hidden="false" customHeight="true" outlineLevel="0" collapsed="false">
      <c r="A17" s="4"/>
    </row>
    <row r="18" customFormat="false" ht="15" hidden="false" customHeight="true" outlineLevel="0" collapsed="false">
      <c r="A18" s="5" t="s">
        <v>13</v>
      </c>
    </row>
    <row r="19" customFormat="false" ht="23.25" hidden="false" customHeight="true" outlineLevel="0" collapsed="false">
      <c r="A19" s="4" t="s">
        <v>14</v>
      </c>
    </row>
    <row r="20" customFormat="false" ht="15" hidden="false" customHeight="true" outlineLevel="0" collapsed="false">
      <c r="A20" s="4" t="s">
        <v>15</v>
      </c>
    </row>
    <row r="21" customFormat="false" ht="15" hidden="false" customHeight="true" outlineLevel="0" collapsed="false">
      <c r="A21" s="4"/>
    </row>
    <row r="22" customFormat="false" ht="15" hidden="false" customHeight="true" outlineLevel="0" collapsed="false">
      <c r="A22" s="5" t="s">
        <v>16</v>
      </c>
    </row>
    <row r="23" customFormat="false" ht="15" hidden="false" customHeight="true" outlineLevel="0" collapsed="false">
      <c r="A23" s="4" t="s">
        <v>17</v>
      </c>
    </row>
    <row r="24" customFormat="false" ht="15" hidden="false" customHeight="true" outlineLevel="0" collapsed="false">
      <c r="A24" s="4" t="s">
        <v>18</v>
      </c>
    </row>
    <row r="25" customFormat="false" ht="23.25" hidden="false" customHeight="true" outlineLevel="0" collapsed="false">
      <c r="A25" s="4" t="s">
        <v>19</v>
      </c>
    </row>
    <row r="26" customFormat="false" ht="15" hidden="false" customHeight="true" outlineLevel="0" collapsed="false">
      <c r="A26" s="4" t="s">
        <v>20</v>
      </c>
    </row>
    <row r="27" customFormat="false" ht="15" hidden="false" customHeight="true" outlineLevel="0" collapsed="false">
      <c r="A27" s="4" t="s">
        <v>21</v>
      </c>
    </row>
    <row r="28" customFormat="false" ht="23.25" hidden="false" customHeight="true" outlineLevel="0" collapsed="false">
      <c r="A28" s="4" t="s">
        <v>22</v>
      </c>
    </row>
    <row r="29" customFormat="false" ht="15" hidden="false" customHeight="true" outlineLevel="0" collapsed="false">
      <c r="A29" s="4" t="s">
        <v>23</v>
      </c>
    </row>
    <row r="30" customFormat="false" ht="35.05" hidden="false" customHeight="false" outlineLevel="0" collapsed="false">
      <c r="A30"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5" min="3" style="1" width="15"/>
    <col collapsed="false" customWidth="true" hidden="false" outlineLevel="0" max="6" min="6" style="1" width="70"/>
    <col collapsed="false" customWidth="true" hidden="false" outlineLevel="0" max="14" min="7" style="1" width="13"/>
  </cols>
  <sheetData>
    <row r="1" customFormat="false" ht="17.25" hidden="false" customHeight="true" outlineLevel="0" collapsed="false">
      <c r="A1" s="6" t="s">
        <v>25</v>
      </c>
    </row>
    <row r="2" customFormat="false" ht="15" hidden="false" customHeight="true" outlineLevel="0" collapsed="false">
      <c r="A2" s="7" t="s">
        <v>26</v>
      </c>
    </row>
    <row r="4" customFormat="false" ht="15" hidden="false" customHeight="true" outlineLevel="0" collapsed="false">
      <c r="A4" s="8" t="s">
        <v>27</v>
      </c>
      <c r="B4" s="9"/>
      <c r="C4" s="9"/>
      <c r="D4" s="9"/>
      <c r="E4" s="9"/>
      <c r="F4" s="9"/>
    </row>
    <row r="5" customFormat="false" ht="15" hidden="false" customHeight="true" outlineLevel="0" collapsed="false">
      <c r="A5" s="10" t="s">
        <v>28</v>
      </c>
      <c r="B5" s="7"/>
      <c r="C5" s="11" t="n">
        <v>2</v>
      </c>
      <c r="F5" s="7" t="s">
        <v>29</v>
      </c>
    </row>
    <row r="6" customFormat="false" ht="15" hidden="false" customHeight="true" outlineLevel="0" collapsed="false">
      <c r="A6" s="1" t="s">
        <v>30</v>
      </c>
    </row>
    <row r="8" customFormat="false" ht="15" hidden="false" customHeight="true" outlineLevel="0" collapsed="false">
      <c r="A8" s="10" t="s">
        <v>31</v>
      </c>
      <c r="B8" s="7"/>
      <c r="C8" s="11" t="n">
        <v>1</v>
      </c>
      <c r="F8" s="7" t="s">
        <v>32</v>
      </c>
    </row>
    <row r="10" customFormat="false" ht="15" hidden="false" customHeight="true" outlineLevel="0" collapsed="false">
      <c r="A10" s="8" t="s">
        <v>33</v>
      </c>
      <c r="B10" s="9"/>
      <c r="C10" s="8" t="s">
        <v>34</v>
      </c>
      <c r="D10" s="8" t="s">
        <v>35</v>
      </c>
      <c r="E10" s="8" t="s">
        <v>36</v>
      </c>
      <c r="F10" s="9"/>
    </row>
    <row r="11" customFormat="false" ht="15" hidden="false" customHeight="true" outlineLevel="0" collapsed="false">
      <c r="A11" s="10" t="s">
        <v>37</v>
      </c>
      <c r="C11" s="12" t="n">
        <v>60</v>
      </c>
      <c r="D11" s="12" t="n">
        <v>120</v>
      </c>
      <c r="E11" s="12" t="n">
        <v>150</v>
      </c>
      <c r="F11" s="7" t="s">
        <v>38</v>
      </c>
    </row>
    <row r="12" customFormat="false" ht="15" hidden="false" customHeight="true" outlineLevel="0" collapsed="false">
      <c r="A12" s="10" t="s">
        <v>39</v>
      </c>
      <c r="C12" s="13" t="n">
        <v>150</v>
      </c>
      <c r="D12" s="13" t="n">
        <v>300</v>
      </c>
      <c r="E12" s="13" t="n">
        <v>400</v>
      </c>
      <c r="F12" s="7" t="s">
        <v>40</v>
      </c>
    </row>
    <row r="13" customFormat="false" ht="15" hidden="false" customHeight="true" outlineLevel="0" collapsed="false">
      <c r="A13" s="10" t="s">
        <v>41</v>
      </c>
      <c r="C13" s="13" t="n">
        <v>300</v>
      </c>
      <c r="D13" s="13" t="n">
        <v>600</v>
      </c>
      <c r="E13" s="13" t="n">
        <v>800</v>
      </c>
      <c r="F13" s="7" t="s">
        <v>42</v>
      </c>
    </row>
    <row r="14" customFormat="false" ht="15" hidden="false" customHeight="true" outlineLevel="0" collapsed="false">
      <c r="A14" s="10" t="s">
        <v>43</v>
      </c>
      <c r="C14" s="13" t="n">
        <v>450</v>
      </c>
      <c r="D14" s="13" t="n">
        <v>900</v>
      </c>
      <c r="E14" s="13" t="n">
        <v>1200</v>
      </c>
      <c r="F14" s="7" t="s">
        <v>44</v>
      </c>
    </row>
    <row r="15" customFormat="false" ht="15" hidden="false" customHeight="true" outlineLevel="0" collapsed="false">
      <c r="A15" s="10" t="s">
        <v>45</v>
      </c>
      <c r="C15" s="13" t="n">
        <v>600</v>
      </c>
      <c r="D15" s="13" t="n">
        <v>1200</v>
      </c>
      <c r="E15" s="13" t="n">
        <v>1600</v>
      </c>
      <c r="F15" s="7" t="s">
        <v>46</v>
      </c>
    </row>
    <row r="16" customFormat="false" ht="15" hidden="false" customHeight="true" outlineLevel="0" collapsed="false">
      <c r="A16" s="10" t="s">
        <v>47</v>
      </c>
      <c r="C16" s="14" t="n">
        <v>0.05</v>
      </c>
      <c r="D16" s="14" t="n">
        <v>0.03</v>
      </c>
      <c r="E16" s="14" t="n">
        <v>0.02</v>
      </c>
      <c r="F16" s="7" t="s">
        <v>48</v>
      </c>
    </row>
    <row r="17" customFormat="false" ht="15" hidden="false" customHeight="true" outlineLevel="0" collapsed="false">
      <c r="A17" s="10" t="s">
        <v>49</v>
      </c>
      <c r="C17" s="15" t="n">
        <v>100000</v>
      </c>
      <c r="D17" s="15" t="n">
        <v>65000</v>
      </c>
      <c r="E17" s="15" t="n">
        <v>50000</v>
      </c>
      <c r="F17" s="7" t="s">
        <v>50</v>
      </c>
    </row>
    <row r="18" customFormat="false" ht="15" hidden="false" customHeight="true" outlineLevel="0" collapsed="false">
      <c r="A18" s="10" t="s">
        <v>51</v>
      </c>
      <c r="C18" s="11" t="n">
        <v>37</v>
      </c>
      <c r="D18" s="11" t="n">
        <v>25</v>
      </c>
      <c r="E18" s="11" t="n">
        <v>25</v>
      </c>
      <c r="F18" s="7" t="s">
        <v>52</v>
      </c>
    </row>
    <row r="20" customFormat="false" ht="15" hidden="false" customHeight="true" outlineLevel="0" collapsed="false">
      <c r="A20" s="8" t="s">
        <v>53</v>
      </c>
      <c r="B20" s="9"/>
      <c r="C20" s="9"/>
      <c r="D20" s="9"/>
      <c r="E20" s="9"/>
      <c r="F20" s="9"/>
    </row>
    <row r="21" customFormat="false" ht="15" hidden="false" customHeight="true" outlineLevel="0" collapsed="false">
      <c r="A21" s="16" t="s">
        <v>54</v>
      </c>
      <c r="C21" s="16" t="n">
        <v>1</v>
      </c>
      <c r="D21" s="16" t="n">
        <v>2</v>
      </c>
      <c r="E21" s="16" t="n">
        <v>3</v>
      </c>
      <c r="F21" s="16" t="n">
        <v>4</v>
      </c>
      <c r="G21" s="16" t="n">
        <v>5</v>
      </c>
      <c r="H21" s="16" t="n">
        <v>6</v>
      </c>
      <c r="I21" s="16" t="n">
        <v>7</v>
      </c>
      <c r="J21" s="16" t="n">
        <v>8</v>
      </c>
      <c r="K21" s="16" t="n">
        <v>9</v>
      </c>
      <c r="L21" s="16" t="n">
        <v>10</v>
      </c>
      <c r="M21" s="16" t="n">
        <v>11</v>
      </c>
      <c r="N21" s="16" t="n">
        <v>12</v>
      </c>
    </row>
    <row r="22" customFormat="false" ht="15" hidden="false" customHeight="true" outlineLevel="0" collapsed="false">
      <c r="A22" s="10" t="s">
        <v>55</v>
      </c>
      <c r="C22" s="17" t="n">
        <v>0.0833</v>
      </c>
      <c r="D22" s="17" t="n">
        <v>0.125</v>
      </c>
      <c r="E22" s="17" t="n">
        <v>0.2083</v>
      </c>
      <c r="F22" s="17" t="n">
        <v>0.2917</v>
      </c>
      <c r="G22" s="17" t="n">
        <v>0.375</v>
      </c>
      <c r="H22" s="17" t="n">
        <v>0.4583</v>
      </c>
      <c r="I22" s="17" t="n">
        <v>0.5417</v>
      </c>
      <c r="J22" s="17" t="n">
        <v>0.6667</v>
      </c>
      <c r="K22" s="17" t="n">
        <v>0.75</v>
      </c>
      <c r="L22" s="17" t="n">
        <v>0.8333</v>
      </c>
      <c r="M22" s="17" t="n">
        <v>0.9167</v>
      </c>
      <c r="N22" s="17" t="n">
        <v>1</v>
      </c>
    </row>
    <row r="23" customFormat="false" ht="15" hidden="false" customHeight="true" outlineLevel="0" collapsed="false">
      <c r="A23" s="7" t="s">
        <v>56</v>
      </c>
    </row>
    <row r="25" customFormat="false" ht="15" hidden="false" customHeight="true" outlineLevel="0" collapsed="false">
      <c r="A25" s="8" t="s">
        <v>57</v>
      </c>
      <c r="B25" s="9"/>
      <c r="C25" s="9"/>
      <c r="D25" s="9"/>
      <c r="E25" s="9"/>
      <c r="F25" s="9"/>
    </row>
    <row r="26" customFormat="false" ht="15" hidden="false" customHeight="true" outlineLevel="0" collapsed="false">
      <c r="A26" s="10" t="s">
        <v>58</v>
      </c>
      <c r="B26" s="7" t="s">
        <v>59</v>
      </c>
      <c r="C26" s="18" t="n">
        <v>39900</v>
      </c>
      <c r="F26" s="7" t="s">
        <v>60</v>
      </c>
    </row>
    <row r="27" customFormat="false" ht="15" hidden="false" customHeight="true" outlineLevel="0" collapsed="false">
      <c r="A27" s="10" t="s">
        <v>61</v>
      </c>
      <c r="B27" s="7" t="s">
        <v>62</v>
      </c>
      <c r="C27" s="19" t="n">
        <v>0.05</v>
      </c>
      <c r="F27" s="7" t="s">
        <v>63</v>
      </c>
    </row>
    <row r="28" customFormat="false" ht="15" hidden="false" customHeight="true" outlineLevel="0" collapsed="false">
      <c r="A28" s="8" t="s">
        <v>64</v>
      </c>
      <c r="B28" s="9"/>
      <c r="C28" s="9"/>
      <c r="D28" s="9"/>
      <c r="E28" s="9"/>
      <c r="F28" s="9"/>
    </row>
    <row r="29" customFormat="false" ht="15" hidden="false" customHeight="true" outlineLevel="0" collapsed="false">
      <c r="A29" s="10" t="s">
        <v>65</v>
      </c>
      <c r="B29" s="7" t="s">
        <v>59</v>
      </c>
      <c r="C29" s="15" t="n">
        <v>1250</v>
      </c>
      <c r="F29" s="7" t="s">
        <v>66</v>
      </c>
    </row>
    <row r="30" customFormat="false" ht="15" hidden="false" customHeight="true" outlineLevel="0" collapsed="false">
      <c r="A30" s="10" t="s">
        <v>67</v>
      </c>
      <c r="B30" s="7" t="s">
        <v>68</v>
      </c>
      <c r="C30" s="19" t="n">
        <v>0.03</v>
      </c>
      <c r="F30" s="7" t="s">
        <v>69</v>
      </c>
    </row>
    <row r="31" customFormat="false" ht="15" hidden="false" customHeight="true" outlineLevel="0" collapsed="false">
      <c r="A31" s="10" t="s">
        <v>70</v>
      </c>
      <c r="B31" s="7" t="s">
        <v>59</v>
      </c>
      <c r="C31" s="15" t="n">
        <v>220000</v>
      </c>
      <c r="F31" s="7" t="s">
        <v>71</v>
      </c>
    </row>
    <row r="32" customFormat="false" ht="15" hidden="false" customHeight="true" outlineLevel="0" collapsed="false">
      <c r="A32" s="10" t="s">
        <v>72</v>
      </c>
      <c r="B32" s="7" t="s">
        <v>73</v>
      </c>
      <c r="C32" s="13" t="n">
        <v>300</v>
      </c>
      <c r="F32" s="7" t="s">
        <v>74</v>
      </c>
    </row>
    <row r="33" customFormat="false" ht="15" hidden="false" customHeight="true" outlineLevel="0" collapsed="false">
      <c r="A33" s="10" t="s">
        <v>75</v>
      </c>
      <c r="B33" s="7" t="s">
        <v>59</v>
      </c>
      <c r="C33" s="15" t="n">
        <v>450000</v>
      </c>
      <c r="F33" s="7" t="s">
        <v>76</v>
      </c>
    </row>
    <row r="34" customFormat="false" ht="15" hidden="false" customHeight="true" outlineLevel="0" collapsed="false">
      <c r="A34" s="10" t="s">
        <v>77</v>
      </c>
      <c r="B34" s="7" t="s">
        <v>73</v>
      </c>
      <c r="C34" s="13" t="n">
        <v>700</v>
      </c>
      <c r="F34" s="7" t="s">
        <v>74</v>
      </c>
    </row>
    <row r="35" customFormat="false" ht="15" hidden="false" customHeight="true" outlineLevel="0" collapsed="false">
      <c r="A35" s="10" t="s">
        <v>78</v>
      </c>
      <c r="B35" s="7" t="s">
        <v>59</v>
      </c>
      <c r="C35" s="15" t="n">
        <v>800000</v>
      </c>
      <c r="F35" s="7" t="s">
        <v>74</v>
      </c>
    </row>
    <row r="36" customFormat="false" ht="15" hidden="false" customHeight="true" outlineLevel="0" collapsed="false">
      <c r="A36" s="8" t="s">
        <v>79</v>
      </c>
      <c r="B36" s="9"/>
      <c r="C36" s="9"/>
      <c r="D36" s="9"/>
      <c r="E36" s="9"/>
      <c r="F36" s="9"/>
    </row>
    <row r="37" customFormat="false" ht="15" hidden="false" customHeight="true" outlineLevel="0" collapsed="false">
      <c r="A37" s="10" t="s">
        <v>80</v>
      </c>
      <c r="B37" s="7" t="s">
        <v>59</v>
      </c>
      <c r="C37" s="15" t="n">
        <v>1750905</v>
      </c>
      <c r="F37" s="7" t="s">
        <v>81</v>
      </c>
    </row>
    <row r="38" customFormat="false" ht="15" hidden="false" customHeight="true" outlineLevel="0" collapsed="false">
      <c r="A38" s="10" t="s">
        <v>82</v>
      </c>
      <c r="B38" s="7" t="s">
        <v>59</v>
      </c>
      <c r="C38" s="15" t="n">
        <v>249095</v>
      </c>
      <c r="F38" s="7" t="s">
        <v>83</v>
      </c>
    </row>
    <row r="39" customFormat="false" ht="15" hidden="false" customHeight="true" outlineLevel="0" collapsed="false">
      <c r="A39" s="10" t="s">
        <v>84</v>
      </c>
      <c r="B39" s="7" t="s">
        <v>62</v>
      </c>
      <c r="C39" s="19" t="n">
        <v>0.05</v>
      </c>
      <c r="F39" s="7" t="s">
        <v>63</v>
      </c>
    </row>
    <row r="40" customFormat="false" ht="15" hidden="false" customHeight="true" outlineLevel="0" collapsed="false">
      <c r="A40" s="10" t="s">
        <v>85</v>
      </c>
      <c r="B40" s="7" t="s">
        <v>86</v>
      </c>
      <c r="C40" s="19" t="n">
        <v>0.12</v>
      </c>
      <c r="F40" s="7" t="s">
        <v>87</v>
      </c>
    </row>
    <row r="41" customFormat="false" ht="15" hidden="false" customHeight="true" outlineLevel="0" collapsed="false">
      <c r="A41" s="10" t="s">
        <v>88</v>
      </c>
      <c r="B41" s="7" t="s">
        <v>86</v>
      </c>
      <c r="C41" s="20" t="n">
        <v>0.00522</v>
      </c>
      <c r="F41" s="7" t="s">
        <v>89</v>
      </c>
    </row>
    <row r="42" customFormat="false" ht="15" hidden="false" customHeight="true" outlineLevel="0" collapsed="false">
      <c r="A42" s="10" t="s">
        <v>90</v>
      </c>
      <c r="B42" s="7" t="s">
        <v>86</v>
      </c>
      <c r="C42" s="19" t="n">
        <v>0.04</v>
      </c>
      <c r="F42" s="7" t="s">
        <v>91</v>
      </c>
    </row>
    <row r="43" customFormat="false" ht="15" hidden="false" customHeight="true" outlineLevel="0" collapsed="false">
      <c r="A43" s="10" t="s">
        <v>92</v>
      </c>
      <c r="B43" s="7" t="s">
        <v>86</v>
      </c>
      <c r="C43" s="19" t="n">
        <v>0</v>
      </c>
      <c r="F43" s="7" t="s">
        <v>93</v>
      </c>
    </row>
    <row r="44" customFormat="false" ht="15" hidden="false" customHeight="true" outlineLevel="0" collapsed="false">
      <c r="A44" s="10" t="s">
        <v>94</v>
      </c>
      <c r="B44" s="7" t="s">
        <v>86</v>
      </c>
      <c r="C44" s="19" t="n">
        <v>0.0833</v>
      </c>
      <c r="F44" s="7" t="s">
        <v>95</v>
      </c>
    </row>
    <row r="45" customFormat="false" ht="15" hidden="false" customHeight="true" outlineLevel="0" collapsed="false">
      <c r="A45" s="10" t="s">
        <v>96</v>
      </c>
      <c r="B45" s="7" t="s">
        <v>86</v>
      </c>
      <c r="C45" s="19" t="n">
        <v>0.01</v>
      </c>
      <c r="F45" s="7" t="s">
        <v>97</v>
      </c>
    </row>
    <row r="46" customFormat="false" ht="15" hidden="false" customHeight="true" outlineLevel="0" collapsed="false">
      <c r="A46" s="10" t="s">
        <v>98</v>
      </c>
      <c r="B46" s="7" t="s">
        <v>86</v>
      </c>
      <c r="C46" s="19" t="n">
        <v>0.0833</v>
      </c>
      <c r="F46" s="7" t="s">
        <v>95</v>
      </c>
    </row>
    <row r="47" customFormat="false" ht="15" hidden="false" customHeight="true" outlineLevel="0" collapsed="false">
      <c r="A47" s="10" t="s">
        <v>99</v>
      </c>
      <c r="B47" s="7" t="s">
        <v>86</v>
      </c>
      <c r="C47" s="19" t="n">
        <v>0.0417</v>
      </c>
      <c r="F47" s="7" t="s">
        <v>100</v>
      </c>
    </row>
    <row r="48" customFormat="false" ht="15" hidden="false" customHeight="true" outlineLevel="0" collapsed="false">
      <c r="A48" s="10" t="s">
        <v>101</v>
      </c>
      <c r="B48" s="7" t="s">
        <v>86</v>
      </c>
      <c r="C48" s="21" t="n">
        <f aca="false">$C$40+$C$41+$C$42+$C$43+$C$44+$C$45+$C$46+$C$47</f>
        <v>0.38352</v>
      </c>
      <c r="F48" s="7" t="s">
        <v>102</v>
      </c>
    </row>
    <row r="49" customFormat="false" ht="15" hidden="false" customHeight="true" outlineLevel="0" collapsed="false">
      <c r="A49" s="10" t="s">
        <v>103</v>
      </c>
      <c r="B49" s="7" t="s">
        <v>104</v>
      </c>
      <c r="C49" s="21" t="n">
        <f aca="false">$C$44+$C$45+$C$46</f>
        <v>0.1766</v>
      </c>
      <c r="F49" s="7" t="s">
        <v>105</v>
      </c>
    </row>
    <row r="50" customFormat="false" ht="15" hidden="false" customHeight="true" outlineLevel="0" collapsed="false">
      <c r="A50" s="10" t="s">
        <v>106</v>
      </c>
      <c r="B50" s="7" t="s">
        <v>59</v>
      </c>
      <c r="C50" s="18" t="n">
        <v>2000000</v>
      </c>
      <c r="F50" s="7" t="s">
        <v>107</v>
      </c>
    </row>
    <row r="51" customFormat="false" ht="15" hidden="false" customHeight="true" outlineLevel="0" collapsed="false">
      <c r="A51" s="10" t="s">
        <v>108</v>
      </c>
      <c r="B51" s="7" t="s">
        <v>109</v>
      </c>
      <c r="C51" s="22" t="n">
        <v>3</v>
      </c>
      <c r="F51" s="7" t="s">
        <v>110</v>
      </c>
    </row>
    <row r="52" customFormat="false" ht="15" hidden="false" customHeight="true" outlineLevel="0" collapsed="false">
      <c r="A52" s="10" t="s">
        <v>111</v>
      </c>
      <c r="B52" s="7" t="s">
        <v>59</v>
      </c>
      <c r="C52" s="18" t="n">
        <v>3000000</v>
      </c>
      <c r="F52" s="7" t="s">
        <v>112</v>
      </c>
    </row>
    <row r="53" customFormat="false" ht="15" hidden="false" customHeight="true" outlineLevel="0" collapsed="false">
      <c r="A53" s="8" t="s">
        <v>113</v>
      </c>
      <c r="B53" s="9"/>
      <c r="C53" s="9"/>
      <c r="D53" s="9"/>
      <c r="E53" s="9"/>
      <c r="F53" s="9"/>
    </row>
    <row r="54" customFormat="false" ht="15" hidden="false" customHeight="true" outlineLevel="0" collapsed="false">
      <c r="A54" s="10" t="s">
        <v>114</v>
      </c>
      <c r="B54" s="7" t="s">
        <v>115</v>
      </c>
      <c r="C54" s="12" t="n">
        <v>80</v>
      </c>
      <c r="F54" s="7" t="s">
        <v>116</v>
      </c>
    </row>
    <row r="55" customFormat="false" ht="15" hidden="false" customHeight="true" outlineLevel="0" collapsed="false">
      <c r="A55" s="10" t="s">
        <v>117</v>
      </c>
      <c r="B55" s="7" t="s">
        <v>115</v>
      </c>
      <c r="C55" s="12" t="n">
        <v>120</v>
      </c>
      <c r="F55" s="7" t="s">
        <v>74</v>
      </c>
    </row>
    <row r="56" customFormat="false" ht="15" hidden="false" customHeight="true" outlineLevel="0" collapsed="false">
      <c r="A56" s="10" t="s">
        <v>118</v>
      </c>
      <c r="B56" s="7" t="s">
        <v>115</v>
      </c>
      <c r="C56" s="12" t="n">
        <v>160</v>
      </c>
      <c r="F56" s="7" t="s">
        <v>119</v>
      </c>
    </row>
    <row r="57" customFormat="false" ht="15" hidden="false" customHeight="true" outlineLevel="0" collapsed="false">
      <c r="A57" s="10" t="s">
        <v>120</v>
      </c>
      <c r="B57" s="7" t="s">
        <v>115</v>
      </c>
      <c r="C57" s="13" t="n">
        <v>160</v>
      </c>
      <c r="F57" s="7" t="s">
        <v>121</v>
      </c>
    </row>
    <row r="58" customFormat="false" ht="15" hidden="false" customHeight="true" outlineLevel="0" collapsed="false">
      <c r="A58" s="10" t="s">
        <v>122</v>
      </c>
      <c r="B58" s="7" t="s">
        <v>123</v>
      </c>
      <c r="C58" s="12" t="n">
        <v>20</v>
      </c>
      <c r="F58" s="7" t="s">
        <v>124</v>
      </c>
    </row>
    <row r="59" customFormat="false" ht="15" hidden="false" customHeight="true" outlineLevel="0" collapsed="false">
      <c r="A59" s="10" t="s">
        <v>125</v>
      </c>
      <c r="B59" s="7" t="s">
        <v>115</v>
      </c>
      <c r="C59" s="23" t="n">
        <v>1.7</v>
      </c>
      <c r="F59" s="7" t="s">
        <v>126</v>
      </c>
    </row>
    <row r="60" customFormat="false" ht="15" hidden="false" customHeight="true" outlineLevel="0" collapsed="false">
      <c r="A60" s="10" t="s">
        <v>127</v>
      </c>
      <c r="B60" s="7" t="s">
        <v>115</v>
      </c>
      <c r="C60" s="24" t="n">
        <v>4</v>
      </c>
      <c r="F60" s="7" t="s">
        <v>128</v>
      </c>
    </row>
    <row r="61" customFormat="false" ht="15" hidden="false" customHeight="true" outlineLevel="0" collapsed="false">
      <c r="A61" s="10" t="s">
        <v>129</v>
      </c>
      <c r="B61" s="7" t="s">
        <v>115</v>
      </c>
      <c r="C61" s="13" t="n">
        <v>80</v>
      </c>
      <c r="F61" s="7" t="s">
        <v>130</v>
      </c>
    </row>
    <row r="62" customFormat="false" ht="15" hidden="false" customHeight="true" outlineLevel="0" collapsed="false">
      <c r="A62" s="10" t="s">
        <v>131</v>
      </c>
      <c r="B62" s="7" t="s">
        <v>115</v>
      </c>
      <c r="C62" s="23" t="n">
        <v>5</v>
      </c>
      <c r="F62" s="7" t="s">
        <v>74</v>
      </c>
    </row>
    <row r="63" customFormat="false" ht="15" hidden="false" customHeight="true" outlineLevel="0" collapsed="false">
      <c r="A63" s="8" t="s">
        <v>132</v>
      </c>
      <c r="B63" s="9"/>
      <c r="C63" s="9"/>
      <c r="D63" s="9"/>
      <c r="E63" s="9"/>
      <c r="F63" s="9"/>
    </row>
    <row r="64" customFormat="false" ht="15" hidden="false" customHeight="true" outlineLevel="0" collapsed="false">
      <c r="A64" s="10" t="s">
        <v>133</v>
      </c>
      <c r="B64" s="7" t="s">
        <v>59</v>
      </c>
      <c r="C64" s="15" t="n">
        <v>500000</v>
      </c>
      <c r="F64" s="7" t="s">
        <v>134</v>
      </c>
    </row>
    <row r="65" customFormat="false" ht="15" hidden="false" customHeight="true" outlineLevel="0" collapsed="false">
      <c r="A65" s="10" t="s">
        <v>135</v>
      </c>
      <c r="B65" s="7" t="s">
        <v>136</v>
      </c>
      <c r="C65" s="11" t="n">
        <v>25</v>
      </c>
      <c r="F65" s="7" t="s">
        <v>137</v>
      </c>
    </row>
    <row r="66" customFormat="false" ht="15" hidden="false" customHeight="true" outlineLevel="0" collapsed="false">
      <c r="A66" s="10" t="s">
        <v>138</v>
      </c>
      <c r="B66" s="7" t="s">
        <v>59</v>
      </c>
      <c r="C66" s="15" t="n">
        <v>200000</v>
      </c>
      <c r="F66" s="7" t="s">
        <v>134</v>
      </c>
    </row>
    <row r="67" customFormat="false" ht="15" hidden="false" customHeight="true" outlineLevel="0" collapsed="false">
      <c r="A67" s="10" t="s">
        <v>139</v>
      </c>
      <c r="B67" s="7" t="s">
        <v>59</v>
      </c>
      <c r="C67" s="15" t="n">
        <v>400000</v>
      </c>
      <c r="F67" s="7" t="s">
        <v>140</v>
      </c>
    </row>
    <row r="68" customFormat="false" ht="15" hidden="false" customHeight="true" outlineLevel="0" collapsed="false">
      <c r="A68" s="10" t="s">
        <v>141</v>
      </c>
      <c r="B68" s="7" t="s">
        <v>59</v>
      </c>
      <c r="C68" s="15" t="n">
        <v>100000</v>
      </c>
      <c r="F68" s="7" t="s">
        <v>134</v>
      </c>
    </row>
    <row r="69" customFormat="false" ht="15" hidden="false" customHeight="true" outlineLevel="0" collapsed="false">
      <c r="A69" s="10" t="s">
        <v>142</v>
      </c>
      <c r="B69" s="7" t="s">
        <v>59</v>
      </c>
      <c r="C69" s="15" t="n">
        <v>10000</v>
      </c>
      <c r="F69" s="7" t="s">
        <v>143</v>
      </c>
    </row>
    <row r="70" customFormat="false" ht="15" hidden="false" customHeight="true" outlineLevel="0" collapsed="false">
      <c r="A70" s="8" t="s">
        <v>144</v>
      </c>
      <c r="B70" s="9"/>
      <c r="C70" s="9"/>
      <c r="D70" s="9"/>
      <c r="E70" s="9"/>
      <c r="F70" s="9"/>
    </row>
    <row r="71" customFormat="false" ht="15" hidden="false" customHeight="true" outlineLevel="0" collapsed="false">
      <c r="A71" s="10" t="s">
        <v>145</v>
      </c>
      <c r="B71" s="7" t="s">
        <v>146</v>
      </c>
      <c r="C71" s="15" t="n">
        <v>500000</v>
      </c>
      <c r="F71" s="7" t="s">
        <v>147</v>
      </c>
    </row>
    <row r="72" customFormat="false" ht="15" hidden="false" customHeight="true" outlineLevel="0" collapsed="false">
      <c r="A72" s="10" t="s">
        <v>148</v>
      </c>
      <c r="B72" s="7" t="s">
        <v>146</v>
      </c>
      <c r="C72" s="15" t="n">
        <v>1000000</v>
      </c>
      <c r="F72" s="7" t="s">
        <v>147</v>
      </c>
    </row>
    <row r="73" customFormat="false" ht="15" hidden="false" customHeight="true" outlineLevel="0" collapsed="false">
      <c r="A73" s="10" t="s">
        <v>149</v>
      </c>
      <c r="B73" s="7" t="s">
        <v>146</v>
      </c>
      <c r="C73" s="15" t="n">
        <v>0</v>
      </c>
      <c r="F73" s="7" t="s">
        <v>150</v>
      </c>
    </row>
    <row r="74" customFormat="false" ht="15" hidden="false" customHeight="true" outlineLevel="0" collapsed="false">
      <c r="A74" s="10" t="s">
        <v>151</v>
      </c>
      <c r="B74" s="7" t="s">
        <v>62</v>
      </c>
      <c r="C74" s="19" t="n">
        <v>0.35</v>
      </c>
      <c r="F74" s="7" t="s">
        <v>152</v>
      </c>
    </row>
    <row r="75" customFormat="false" ht="15" hidden="false" customHeight="true" outlineLevel="0" collapsed="false">
      <c r="A75" s="10" t="s">
        <v>153</v>
      </c>
      <c r="B75" s="7" t="s">
        <v>62</v>
      </c>
      <c r="C75" s="14" t="n">
        <v>0.2</v>
      </c>
      <c r="F75" s="7" t="s">
        <v>154</v>
      </c>
    </row>
    <row r="77" customFormat="false" ht="15" hidden="false" customHeight="true" outlineLevel="0" collapsed="false">
      <c r="A77" s="8" t="s">
        <v>155</v>
      </c>
      <c r="B77" s="9"/>
      <c r="C77" s="9"/>
      <c r="D77" s="9"/>
      <c r="E77" s="9"/>
      <c r="F77" s="9"/>
    </row>
    <row r="78" customFormat="false" ht="15" hidden="false" customHeight="true" outlineLevel="0" collapsed="false">
      <c r="A78" s="10" t="s">
        <v>156</v>
      </c>
      <c r="C78" s="15" t="n">
        <v>4000000</v>
      </c>
      <c r="F78" s="7" t="s">
        <v>157</v>
      </c>
    </row>
    <row r="79" customFormat="false" ht="15" hidden="false" customHeight="true" outlineLevel="0" collapsed="false">
      <c r="A79" s="10" t="s">
        <v>158</v>
      </c>
      <c r="C79" s="15" t="n">
        <v>6000000</v>
      </c>
      <c r="F79" s="7" t="s">
        <v>157</v>
      </c>
    </row>
    <row r="80" customFormat="false" ht="15" hidden="false" customHeight="true" outlineLevel="0" collapsed="false">
      <c r="A80" s="10" t="s">
        <v>159</v>
      </c>
      <c r="C80" s="15" t="n">
        <v>5850000</v>
      </c>
      <c r="F80" s="7" t="s">
        <v>157</v>
      </c>
    </row>
    <row r="82" customFormat="false" ht="15" hidden="false" customHeight="false" outlineLevel="0" collapsed="false">
      <c r="A82" s="8" t="s">
        <v>160</v>
      </c>
      <c r="B82" s="9"/>
      <c r="C82" s="9"/>
      <c r="D82" s="9"/>
      <c r="E82" s="9"/>
      <c r="F82" s="9"/>
    </row>
    <row r="83" customFormat="false" ht="15" hidden="false" customHeight="false" outlineLevel="0" collapsed="false">
      <c r="A83" s="10" t="s">
        <v>161</v>
      </c>
      <c r="B83" s="7" t="s">
        <v>162</v>
      </c>
      <c r="C83" s="25" t="n">
        <v>863.61</v>
      </c>
      <c r="F83" s="7" t="s">
        <v>163</v>
      </c>
    </row>
    <row r="84" customFormat="false" ht="15" hidden="false" customHeight="false" outlineLevel="0" collapsed="false">
      <c r="A84" s="10" t="s">
        <v>164</v>
      </c>
      <c r="B84" s="7" t="s">
        <v>165</v>
      </c>
      <c r="C84" s="26" t="n">
        <v>75</v>
      </c>
      <c r="F84" s="7" t="s">
        <v>166</v>
      </c>
    </row>
    <row r="85" customFormat="false" ht="15" hidden="false" customHeight="false" outlineLevel="0" collapsed="false">
      <c r="A85" s="10" t="s">
        <v>167</v>
      </c>
      <c r="B85" s="7" t="s">
        <v>59</v>
      </c>
      <c r="C85" s="15" t="n">
        <v>60000</v>
      </c>
      <c r="F85" s="7" t="s">
        <v>168</v>
      </c>
    </row>
    <row r="86" customFormat="false" ht="15" hidden="false" customHeight="false" outlineLevel="0" collapsed="false">
      <c r="A86" s="10" t="s">
        <v>169</v>
      </c>
      <c r="B86" s="7" t="s">
        <v>170</v>
      </c>
      <c r="C86" s="26" t="n">
        <v>480</v>
      </c>
      <c r="F86" s="7" t="s">
        <v>171</v>
      </c>
    </row>
    <row r="87" customFormat="false" ht="15" hidden="false" customHeight="false" outlineLevel="0" collapsed="false">
      <c r="A87" s="10" t="s">
        <v>172</v>
      </c>
      <c r="B87" s="7" t="s">
        <v>146</v>
      </c>
      <c r="C87" s="15" t="n">
        <v>2500000</v>
      </c>
      <c r="F87" s="7" t="s">
        <v>173</v>
      </c>
    </row>
    <row r="88" customFormat="false" ht="15" hidden="false" customHeight="false" outlineLevel="0" collapsed="false">
      <c r="A88" s="10" t="s">
        <v>174</v>
      </c>
      <c r="B88" s="7" t="s">
        <v>175</v>
      </c>
      <c r="C88" s="26" t="n">
        <v>60</v>
      </c>
      <c r="F88" s="7" t="s">
        <v>176</v>
      </c>
    </row>
    <row r="89" customFormat="false" ht="15" hidden="false" customHeight="false" outlineLevel="0" collapsed="false">
      <c r="A89" s="27"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7" min="2" style="1" width="14"/>
  </cols>
  <sheetData>
    <row r="1" customFormat="false" ht="17.25" hidden="false" customHeight="true" outlineLevel="0" collapsed="false">
      <c r="A1" s="6" t="s">
        <v>178</v>
      </c>
    </row>
    <row r="2" customFormat="false" ht="15" hidden="false" customHeight="true" outlineLevel="0" collapsed="false">
      <c r="A2" s="16" t="str">
        <f aca="false">"Escenario: "&amp;CHOOSE(Supuestos!$C$5,"Pesimista","Base","Optimista")&amp;"  ·  Modo de equipo: "&amp;IF(Supuestos!$C$8=1,"según carga de trabajo","calendario del plan original")</f>
        <v>Escenario: Base  ·  Modo de equipo: según carga de trabajo</v>
      </c>
    </row>
    <row r="3" customFormat="false" ht="15" hidden="false" customHeight="true" outlineLevel="0" collapsed="false">
      <c r="A3" s="7" t="s">
        <v>179</v>
      </c>
    </row>
    <row r="5" customFormat="false" ht="15" hidden="false" customHeight="true" outlineLevel="0" collapsed="false">
      <c r="A5" s="8" t="s">
        <v>180</v>
      </c>
      <c r="B5" s="9"/>
      <c r="C5" s="9"/>
      <c r="D5" s="9"/>
      <c r="E5" s="9"/>
      <c r="F5" s="9"/>
      <c r="G5" s="9"/>
    </row>
    <row r="6" customFormat="false" ht="15" hidden="false" customHeight="true" outlineLevel="0" collapsed="false">
      <c r="A6" s="28" t="s">
        <v>181</v>
      </c>
      <c r="B6" s="28" t="s">
        <v>182</v>
      </c>
      <c r="C6" s="28" t="s">
        <v>183</v>
      </c>
      <c r="D6" s="28" t="s">
        <v>184</v>
      </c>
      <c r="E6" s="28" t="s">
        <v>185</v>
      </c>
      <c r="F6" s="28" t="s">
        <v>186</v>
      </c>
      <c r="G6" s="28" t="s">
        <v>187</v>
      </c>
    </row>
    <row r="7" customFormat="false" ht="15" hidden="false" customHeight="true" outlineLevel="0" collapsed="false">
      <c r="A7" s="10" t="s">
        <v>188</v>
      </c>
      <c r="C7" s="29" t="n">
        <f aca="false">CHOOSE(Supuestos!$C$5,Pesimista!C53,Base!C53,Optimista!C53)</f>
        <v>120</v>
      </c>
      <c r="D7" s="29" t="n">
        <f aca="false">CHOOSE(Supuestos!$C$5,Pesimista!D53,Base!D53,Optimista!D53)</f>
        <v>300</v>
      </c>
      <c r="E7" s="29" t="n">
        <f aca="false">CHOOSE(Supuestos!$C$5,Pesimista!E53,Base!E53,Optimista!E53)</f>
        <v>600</v>
      </c>
      <c r="F7" s="29" t="n">
        <f aca="false">CHOOSE(Supuestos!$C$5,Pesimista!F53,Base!F53,Optimista!F53)</f>
        <v>900</v>
      </c>
      <c r="G7" s="29" t="n">
        <f aca="false">CHOOSE(Supuestos!$C$5,Pesimista!G53,Base!G53,Optimista!G53)</f>
        <v>1200</v>
      </c>
    </row>
    <row r="8" customFormat="false" ht="15" hidden="false" customHeight="true" outlineLevel="0" collapsed="false">
      <c r="A8" s="10" t="s">
        <v>189</v>
      </c>
      <c r="C8" s="29" t="n">
        <f aca="false">CHOOSE(Supuestos!$C$5,Pesimista!C54,Base!C54,Optimista!C54)</f>
        <v>138.9</v>
      </c>
      <c r="D8" s="29" t="n">
        <f aca="false">CHOOSE(Supuestos!$C$5,Pesimista!D54,Base!D54,Optimista!D54)</f>
        <v>252.9</v>
      </c>
      <c r="E8" s="29" t="n">
        <f aca="false">CHOOSE(Supuestos!$C$5,Pesimista!E54,Base!E54,Optimista!E54)</f>
        <v>457.5</v>
      </c>
      <c r="F8" s="29" t="n">
        <f aca="false">CHOOSE(Supuestos!$C$5,Pesimista!F54,Base!F54,Optimista!F54)</f>
        <v>565.5</v>
      </c>
      <c r="G8" s="29" t="n">
        <f aca="false">CHOOSE(Supuestos!$C$5,Pesimista!G54,Base!G54,Optimista!G54)</f>
        <v>673.5</v>
      </c>
    </row>
    <row r="9" customFormat="false" ht="15" hidden="false" customHeight="true" outlineLevel="0" collapsed="false">
      <c r="A9" s="10" t="s">
        <v>190</v>
      </c>
      <c r="C9" s="29" t="n">
        <f aca="false">CHOOSE(Supuestos!$C$5,Pesimista!C55,Base!C55,Optimista!C55)</f>
        <v>18.9</v>
      </c>
      <c r="D9" s="29" t="n">
        <f aca="false">CHOOSE(Supuestos!$C$5,Pesimista!D55,Base!D55,Optimista!D55)</f>
        <v>72.9</v>
      </c>
      <c r="E9" s="29" t="n">
        <f aca="false">CHOOSE(Supuestos!$C$5,Pesimista!E55,Base!E55,Optimista!E55)</f>
        <v>157.5</v>
      </c>
      <c r="F9" s="29" t="n">
        <f aca="false">CHOOSE(Supuestos!$C$5,Pesimista!F55,Base!F55,Optimista!F55)</f>
        <v>265.5</v>
      </c>
      <c r="G9" s="29" t="n">
        <f aca="false">CHOOSE(Supuestos!$C$5,Pesimista!G55,Base!G55,Optimista!G55)</f>
        <v>373.5</v>
      </c>
    </row>
    <row r="10" customFormat="false" ht="15" hidden="false" customHeight="true" outlineLevel="0" collapsed="false">
      <c r="A10" s="10" t="s">
        <v>191</v>
      </c>
      <c r="C10" s="30" t="n">
        <f aca="false">CHOOSE(Supuestos!$C$5,Pesimista!C56,Base!C56,Optimista!C56)</f>
        <v>39900</v>
      </c>
      <c r="D10" s="30" t="n">
        <f aca="false">CHOOSE(Supuestos!$C$5,Pesimista!D56,Base!D56,Optimista!D56)</f>
        <v>41895</v>
      </c>
      <c r="E10" s="30" t="n">
        <f aca="false">CHOOSE(Supuestos!$C$5,Pesimista!E56,Base!E56,Optimista!E56)</f>
        <v>43989.75</v>
      </c>
      <c r="F10" s="30" t="n">
        <f aca="false">CHOOSE(Supuestos!$C$5,Pesimista!F56,Base!F56,Optimista!F56)</f>
        <v>46189.2375</v>
      </c>
      <c r="G10" s="30" t="n">
        <f aca="false">CHOOSE(Supuestos!$C$5,Pesimista!G56,Base!G56,Optimista!G56)</f>
        <v>48498.699375</v>
      </c>
    </row>
    <row r="11" customFormat="false" ht="15" hidden="false" customHeight="true" outlineLevel="0" collapsed="false">
      <c r="A11" s="16" t="s">
        <v>57</v>
      </c>
      <c r="C11" s="31" t="n">
        <f aca="false">CHOOSE(Supuestos!$C$5,Pesimista!C57,Base!C57,Optimista!C57)</f>
        <v>29.925</v>
      </c>
      <c r="D11" s="31" t="n">
        <f aca="false">CHOOSE(Supuestos!$C$5,Pesimista!D57,Base!D57,Optimista!D57)</f>
        <v>109.34595</v>
      </c>
      <c r="E11" s="31" t="n">
        <f aca="false">CHOOSE(Supuestos!$C$5,Pesimista!E57,Base!E57,Optimista!E57)</f>
        <v>244.1431125</v>
      </c>
      <c r="F11" s="31" t="n">
        <f aca="false">CHOOSE(Supuestos!$C$5,Pesimista!F57,Base!F57,Optimista!F57)</f>
        <v>422.631523125</v>
      </c>
      <c r="G11" s="31" t="n">
        <f aca="false">CHOOSE(Supuestos!$C$5,Pesimista!G57,Base!G57,Optimista!G57)</f>
        <v>618.35841703125</v>
      </c>
    </row>
    <row r="13" customFormat="false" ht="15" hidden="false" customHeight="true" outlineLevel="0" collapsed="false">
      <c r="A13" s="8" t="s">
        <v>192</v>
      </c>
      <c r="B13" s="9"/>
      <c r="C13" s="9"/>
      <c r="D13" s="9"/>
      <c r="E13" s="9"/>
      <c r="F13" s="9"/>
      <c r="G13" s="9"/>
    </row>
    <row r="14" customFormat="false" ht="15" hidden="false" customHeight="true" outlineLevel="0" collapsed="false">
      <c r="A14" s="28" t="s">
        <v>181</v>
      </c>
      <c r="B14" s="28" t="s">
        <v>182</v>
      </c>
      <c r="C14" s="28" t="s">
        <v>183</v>
      </c>
      <c r="D14" s="28" t="s">
        <v>184</v>
      </c>
      <c r="E14" s="28" t="s">
        <v>185</v>
      </c>
      <c r="F14" s="28" t="s">
        <v>186</v>
      </c>
      <c r="G14" s="28" t="s">
        <v>187</v>
      </c>
    </row>
    <row r="15" customFormat="false" ht="15" hidden="false" customHeight="true" outlineLevel="0" collapsed="false">
      <c r="A15" s="10" t="s">
        <v>193</v>
      </c>
      <c r="C15" s="32" t="n">
        <f aca="false">CHOOSE(Supuestos!$C$5,Pesimista!C58,Base!C58,Optimista!C58)</f>
        <v>4.47525</v>
      </c>
      <c r="D15" s="32" t="n">
        <f aca="false">CHOOSE(Supuestos!$C$5,Pesimista!D58,Base!D58,Optimista!D58)</f>
        <v>9.3460035</v>
      </c>
      <c r="E15" s="32" t="n">
        <f aca="false">CHOOSE(Supuestos!$C$5,Pesimista!E58,Base!E58,Optimista!E58)</f>
        <v>20.372887125</v>
      </c>
      <c r="F15" s="32" t="n">
        <f aca="false">CHOOSE(Supuestos!$C$5,Pesimista!F58,Base!F58,Optimista!F58)</f>
        <v>34.11928163125</v>
      </c>
      <c r="G15" s="32" t="n">
        <f aca="false">CHOOSE(Supuestos!$C$5,Pesimista!G58,Base!G58,Optimista!G58)</f>
        <v>47.5228833703125</v>
      </c>
    </row>
    <row r="16" customFormat="false" ht="15" hidden="false" customHeight="true" outlineLevel="0" collapsed="false">
      <c r="A16" s="16" t="s">
        <v>194</v>
      </c>
      <c r="C16" s="31" t="n">
        <f aca="false">CHOOSE(Supuestos!$C$5,Pesimista!C59,Base!C59,Optimista!C59)</f>
        <v>25.44975</v>
      </c>
      <c r="D16" s="31" t="n">
        <f aca="false">CHOOSE(Supuestos!$C$5,Pesimista!D59,Base!D59,Optimista!D59)</f>
        <v>99.9999465</v>
      </c>
      <c r="E16" s="31" t="n">
        <f aca="false">CHOOSE(Supuestos!$C$5,Pesimista!E59,Base!E59,Optimista!E59)</f>
        <v>223.770225375</v>
      </c>
      <c r="F16" s="31" t="n">
        <f aca="false">CHOOSE(Supuestos!$C$5,Pesimista!F59,Base!F59,Optimista!F59)</f>
        <v>388.51224149375</v>
      </c>
      <c r="G16" s="31" t="n">
        <f aca="false">CHOOSE(Supuestos!$C$5,Pesimista!G59,Base!G59,Optimista!G59)</f>
        <v>570.835533660938</v>
      </c>
    </row>
    <row r="17" customFormat="false" ht="15" hidden="false" customHeight="true" outlineLevel="0" collapsed="false">
      <c r="A17" s="10" t="s">
        <v>195</v>
      </c>
      <c r="C17" s="33" t="n">
        <f aca="false">CHOOSE(Supuestos!$C$5,Pesimista!C60,Base!C60,Optimista!C60)</f>
        <v>0.850451127819549</v>
      </c>
      <c r="D17" s="33" t="n">
        <f aca="false">CHOOSE(Supuestos!$C$5,Pesimista!D60,Base!D60,Optimista!D60)</f>
        <v>0.914528123812542</v>
      </c>
      <c r="E17" s="33" t="n">
        <f aca="false">CHOOSE(Supuestos!$C$5,Pesimista!E60,Base!E60,Optimista!E60)</f>
        <v>0.916553504555653</v>
      </c>
      <c r="F17" s="33" t="n">
        <f aca="false">CHOOSE(Supuestos!$C$5,Pesimista!F60,Base!F60,Optimista!F60)</f>
        <v>0.91926943504127</v>
      </c>
      <c r="G17" s="33" t="n">
        <f aca="false">CHOOSE(Supuestos!$C$5,Pesimista!G60,Base!G60,Optimista!G60)</f>
        <v>0.923146702524936</v>
      </c>
    </row>
    <row r="19" customFormat="false" ht="15" hidden="false" customHeight="true" outlineLevel="0" collapsed="false">
      <c r="A19" s="8" t="s">
        <v>196</v>
      </c>
      <c r="B19" s="9"/>
      <c r="C19" s="9"/>
      <c r="D19" s="9"/>
      <c r="E19" s="9"/>
      <c r="F19" s="9"/>
      <c r="G19" s="9"/>
    </row>
    <row r="20" customFormat="false" ht="15" hidden="false" customHeight="true" outlineLevel="0" collapsed="false">
      <c r="A20" s="28" t="s">
        <v>181</v>
      </c>
      <c r="B20" s="28" t="s">
        <v>182</v>
      </c>
      <c r="C20" s="28" t="s">
        <v>183</v>
      </c>
      <c r="D20" s="28" t="s">
        <v>184</v>
      </c>
      <c r="E20" s="28" t="s">
        <v>185</v>
      </c>
      <c r="F20" s="28" t="s">
        <v>186</v>
      </c>
      <c r="G20" s="28" t="s">
        <v>187</v>
      </c>
    </row>
    <row r="21" customFormat="false" ht="15" hidden="false" customHeight="true" outlineLevel="0" collapsed="false">
      <c r="A21" s="10" t="s">
        <v>197</v>
      </c>
      <c r="C21" s="32" t="n">
        <f aca="false">CHOOSE(Supuestos!$C$5,Pesimista!C61,Base!C61,Optimista!C61)</f>
        <v>0</v>
      </c>
      <c r="D21" s="32" t="n">
        <f aca="false">CHOOSE(Supuestos!$C$5,Pesimista!D61,Base!D61,Optimista!D61)</f>
        <v>0</v>
      </c>
      <c r="E21" s="32" t="n">
        <f aca="false">CHOOSE(Supuestos!$C$5,Pesimista!E61,Base!E61,Optimista!E61)</f>
        <v>20.242728045855</v>
      </c>
      <c r="F21" s="32" t="n">
        <f aca="false">CHOOSE(Supuestos!$C$5,Pesimista!F61,Base!F61,Optimista!F61)</f>
        <v>63.7645933444433</v>
      </c>
      <c r="G21" s="32" t="n">
        <f aca="false">CHOOSE(Supuestos!$C$5,Pesimista!G61,Base!G61,Optimista!G61)</f>
        <v>115.307639631202</v>
      </c>
    </row>
    <row r="22" customFormat="false" ht="15" hidden="false" customHeight="true" outlineLevel="0" collapsed="false">
      <c r="A22" s="10" t="s">
        <v>198</v>
      </c>
      <c r="C22" s="32" t="n">
        <f aca="false">CHOOSE(Supuestos!$C$5,Pesimista!C62,Base!C62,Optimista!C62)</f>
        <v>0</v>
      </c>
      <c r="D22" s="32" t="n">
        <f aca="false">CHOOSE(Supuestos!$C$5,Pesimista!D62,Base!D62,Optimista!D62)</f>
        <v>0</v>
      </c>
      <c r="E22" s="32" t="n">
        <f aca="false">CHOOSE(Supuestos!$C$5,Pesimista!E62,Base!E62,Optimista!E62)</f>
        <v>176.36827707513</v>
      </c>
      <c r="F22" s="32" t="n">
        <f aca="false">CHOOSE(Supuestos!$C$5,Pesimista!F62,Base!F62,Optimista!F62)</f>
        <v>185.186690928887</v>
      </c>
      <c r="G22" s="32" t="n">
        <f aca="false">CHOOSE(Supuestos!$C$5,Pesimista!G62,Base!G62,Optimista!G62)</f>
        <v>194.446025475331</v>
      </c>
    </row>
    <row r="23" customFormat="false" ht="15" hidden="false" customHeight="true" outlineLevel="0" collapsed="false">
      <c r="A23" s="10" t="s">
        <v>199</v>
      </c>
      <c r="C23" s="32" t="n">
        <f aca="false">CHOOSE(Supuestos!$C$5,Pesimista!C63,Base!C63,Optimista!C63)</f>
        <v>9.0285</v>
      </c>
      <c r="D23" s="32" t="n">
        <f aca="false">CHOOSE(Supuestos!$C$5,Pesimista!D63,Base!D63,Optimista!D63)</f>
        <v>17.260425</v>
      </c>
      <c r="E23" s="32" t="n">
        <f aca="false">CHOOSE(Supuestos!$C$5,Pesimista!E63,Base!E63,Optimista!E63)</f>
        <v>32.78559375</v>
      </c>
      <c r="F23" s="32" t="n">
        <f aca="false">CHOOSE(Supuestos!$C$5,Pesimista!F63,Base!F63,Optimista!F63)</f>
        <v>42.5514009375</v>
      </c>
      <c r="G23" s="32" t="n">
        <f aca="false">CHOOSE(Supuestos!$C$5,Pesimista!G63,Base!G63,Optimista!G63)</f>
        <v>53.211824859375</v>
      </c>
    </row>
    <row r="24" customFormat="false" ht="15" hidden="false" customHeight="true" outlineLevel="0" collapsed="false">
      <c r="A24" s="10" t="s">
        <v>200</v>
      </c>
      <c r="C24" s="32" t="n">
        <f aca="false">CHOOSE(Supuestos!$C$5,Pesimista!C64,Base!C64,Optimista!C64)</f>
        <v>5.76653976</v>
      </c>
      <c r="D24" s="32" t="n">
        <f aca="false">CHOOSE(Supuestos!$C$5,Pesimista!D64,Base!D64,Optimista!D64)</f>
        <v>8.621800122</v>
      </c>
      <c r="E24" s="32" t="n">
        <f aca="false">CHOOSE(Supuestos!$C$5,Pesimista!E64,Base!E64,Optimista!E64)</f>
        <v>17.5203</v>
      </c>
      <c r="F24" s="32" t="n">
        <f aca="false">CHOOSE(Supuestos!$C$5,Pesimista!F64,Base!F64,Optimista!F64)</f>
        <v>18.396315</v>
      </c>
      <c r="G24" s="32" t="n">
        <f aca="false">CHOOSE(Supuestos!$C$5,Pesimista!G64,Base!G64,Optimista!G64)</f>
        <v>19.31613075</v>
      </c>
    </row>
    <row r="25" customFormat="false" ht="15" hidden="false" customHeight="true" outlineLevel="0" collapsed="false">
      <c r="A25" s="16" t="s">
        <v>201</v>
      </c>
      <c r="C25" s="31" t="n">
        <f aca="false">CHOOSE(Supuestos!$C$5,Pesimista!C65,Base!C65,Optimista!C65)</f>
        <v>14.79503976</v>
      </c>
      <c r="D25" s="31" t="n">
        <f aca="false">CHOOSE(Supuestos!$C$5,Pesimista!D65,Base!D65,Optimista!D65)</f>
        <v>25.882225122</v>
      </c>
      <c r="E25" s="31" t="n">
        <f aca="false">CHOOSE(Supuestos!$C$5,Pesimista!E65,Base!E65,Optimista!E65)</f>
        <v>246.916898870985</v>
      </c>
      <c r="F25" s="31" t="n">
        <f aca="false">CHOOSE(Supuestos!$C$5,Pesimista!F65,Base!F65,Optimista!F65)</f>
        <v>309.89900021083</v>
      </c>
      <c r="G25" s="31" t="n">
        <f aca="false">CHOOSE(Supuestos!$C$5,Pesimista!G65,Base!G65,Optimista!G65)</f>
        <v>382.281620715908</v>
      </c>
    </row>
    <row r="26" customFormat="false" ht="15" hidden="false" customHeight="true" outlineLevel="0" collapsed="false">
      <c r="A26" s="16" t="s">
        <v>202</v>
      </c>
      <c r="C26" s="31" t="n">
        <f aca="false">CHOOSE(Supuestos!$C$5,Pesimista!C66,Base!C66,Optimista!C66)</f>
        <v>10.65471024</v>
      </c>
      <c r="D26" s="31" t="n">
        <f aca="false">CHOOSE(Supuestos!$C$5,Pesimista!D66,Base!D66,Optimista!D66)</f>
        <v>74.117721378</v>
      </c>
      <c r="E26" s="31" t="n">
        <f aca="false">CHOOSE(Supuestos!$C$5,Pesimista!E66,Base!E66,Optimista!E66)</f>
        <v>-23.146673495985</v>
      </c>
      <c r="F26" s="31" t="n">
        <f aca="false">CHOOSE(Supuestos!$C$5,Pesimista!F66,Base!F66,Optimista!F66)</f>
        <v>78.6132412829202</v>
      </c>
      <c r="G26" s="31" t="n">
        <f aca="false">CHOOSE(Supuestos!$C$5,Pesimista!G66,Base!G66,Optimista!G66)</f>
        <v>188.55391294503</v>
      </c>
    </row>
    <row r="27" customFormat="false" ht="15" hidden="false" customHeight="true" outlineLevel="0" collapsed="false">
      <c r="A27" s="10" t="s">
        <v>203</v>
      </c>
      <c r="C27" s="32" t="n">
        <f aca="false">CHOOSE(Supuestos!$C$5,Pesimista!C69,Base!C69,Optimista!C69)</f>
        <v>3.729148584</v>
      </c>
      <c r="D27" s="32" t="n">
        <f aca="false">CHOOSE(Supuestos!$C$5,Pesimista!D69,Base!D69,Optimista!D69)</f>
        <v>25.9412024823</v>
      </c>
      <c r="E27" s="32" t="n">
        <f aca="false">CHOOSE(Supuestos!$C$5,Pesimista!E69,Base!E69,Optimista!E69)</f>
        <v>0</v>
      </c>
      <c r="F27" s="32" t="n">
        <f aca="false">CHOOSE(Supuestos!$C$5,Pesimista!F69,Base!F69,Optimista!F69)</f>
        <v>19.4132987254273</v>
      </c>
      <c r="G27" s="32" t="n">
        <f aca="false">CHOOSE(Supuestos!$C$5,Pesimista!G69,Base!G69,Optimista!G69)</f>
        <v>65.9938695307606</v>
      </c>
    </row>
    <row r="28" customFormat="false" ht="15" hidden="false" customHeight="true" outlineLevel="0" collapsed="false">
      <c r="A28" s="16" t="s">
        <v>204</v>
      </c>
      <c r="C28" s="31" t="n">
        <f aca="false">CHOOSE(Supuestos!$C$5,Pesimista!C70,Base!C70,Optimista!C70)</f>
        <v>6.925561656</v>
      </c>
      <c r="D28" s="31" t="n">
        <f aca="false">CHOOSE(Supuestos!$C$5,Pesimista!D70,Base!D70,Optimista!D70)</f>
        <v>48.1765188957</v>
      </c>
      <c r="E28" s="31" t="n">
        <f aca="false">CHOOSE(Supuestos!$C$5,Pesimista!E70,Base!E70,Optimista!E70)</f>
        <v>-23.146673495985</v>
      </c>
      <c r="F28" s="31" t="n">
        <f aca="false">CHOOSE(Supuestos!$C$5,Pesimista!F70,Base!F70,Optimista!F70)</f>
        <v>59.1999425574929</v>
      </c>
      <c r="G28" s="31" t="n">
        <f aca="false">CHOOSE(Supuestos!$C$5,Pesimista!G70,Base!G70,Optimista!G70)</f>
        <v>122.56004341427</v>
      </c>
    </row>
    <row r="29" customFormat="false" ht="15" hidden="false" customHeight="true" outlineLevel="0" collapsed="false">
      <c r="A29" s="16" t="s">
        <v>205</v>
      </c>
      <c r="B29" s="31" t="n">
        <f aca="false">CHOOSE(Supuestos!$C$5,Pesimista!B71,Base!B71,Optimista!B71)</f>
        <v>-1.5</v>
      </c>
      <c r="C29" s="31" t="n">
        <f aca="false">CHOOSE(Supuestos!$C$5,Pesimista!C71,Base!C71,Optimista!C71)</f>
        <v>6.925561656</v>
      </c>
      <c r="D29" s="31" t="n">
        <f aca="false">CHOOSE(Supuestos!$C$5,Pesimista!D71,Base!D71,Optimista!D71)</f>
        <v>48.1765188957</v>
      </c>
      <c r="E29" s="31" t="n">
        <f aca="false">CHOOSE(Supuestos!$C$5,Pesimista!E71,Base!E71,Optimista!E71)</f>
        <v>-23.146673495985</v>
      </c>
      <c r="F29" s="31" t="n">
        <f aca="false">CHOOSE(Supuestos!$C$5,Pesimista!F71,Base!F71,Optimista!F71)</f>
        <v>59.1999425574929</v>
      </c>
      <c r="G29" s="31" t="n">
        <f aca="false">CHOOSE(Supuestos!$C$5,Pesimista!G71,Base!G71,Optimista!G71)</f>
        <v>122.56004341427</v>
      </c>
    </row>
    <row r="30" customFormat="false" ht="15" hidden="false" customHeight="true" outlineLevel="0" collapsed="false">
      <c r="A30" s="16" t="s">
        <v>206</v>
      </c>
      <c r="B30" s="31" t="n">
        <f aca="false">CHOOSE(Supuestos!$C$5,Pesimista!B72,Base!B72,Optimista!B72)</f>
        <v>-1.5</v>
      </c>
      <c r="C30" s="31" t="n">
        <f aca="false">CHOOSE(Supuestos!$C$5,Pesimista!C72,Base!C72,Optimista!C72)</f>
        <v>5.425561656</v>
      </c>
      <c r="D30" s="31" t="n">
        <f aca="false">CHOOSE(Supuestos!$C$5,Pesimista!D72,Base!D72,Optimista!D72)</f>
        <v>53.6020805517</v>
      </c>
      <c r="E30" s="31" t="n">
        <f aca="false">CHOOSE(Supuestos!$C$5,Pesimista!E72,Base!E72,Optimista!E72)</f>
        <v>30.455407055715</v>
      </c>
      <c r="F30" s="31" t="n">
        <f aca="false">CHOOSE(Supuestos!$C$5,Pesimista!F72,Base!F72,Optimista!F72)</f>
        <v>89.6553496132079</v>
      </c>
      <c r="G30" s="31" t="n">
        <f aca="false">CHOOSE(Supuestos!$C$5,Pesimista!G72,Base!G72,Optimista!G72)</f>
        <v>212.215393027478</v>
      </c>
    </row>
    <row r="31" customFormat="false" ht="15" hidden="false" customHeight="true" outlineLevel="0" collapsed="false">
      <c r="A31" s="10" t="s">
        <v>207</v>
      </c>
      <c r="C31" s="32" t="n">
        <f aca="false">CHOOSE(Supuestos!$C$5,Pesimista!C74,Base!C74,Optimista!C74)</f>
        <v>79.985613186</v>
      </c>
      <c r="D31" s="32" t="n">
        <f aca="false">CHOOSE(Supuestos!$C$5,Pesimista!D74,Base!D74,Optimista!D74)</f>
        <v>125.97734076795</v>
      </c>
      <c r="E31" s="32" t="n">
        <f aca="false">CHOOSE(Supuestos!$C$5,Pesimista!E74,Base!E74,Optimista!E74)</f>
        <v>0</v>
      </c>
      <c r="F31" s="32" t="n">
        <f aca="false">CHOOSE(Supuestos!$C$5,Pesimista!F74,Base!F74,Optimista!F74)</f>
        <v>0</v>
      </c>
      <c r="G31" s="32" t="n">
        <f aca="false">CHOOSE(Supuestos!$C$5,Pesimista!G74,Base!G74,Optimista!G74)</f>
        <v>0</v>
      </c>
    </row>
    <row r="32" customFormat="false" ht="15" hidden="false" customHeight="true" outlineLevel="0" collapsed="false">
      <c r="A32" s="10" t="s">
        <v>208</v>
      </c>
      <c r="C32" s="34" t="n">
        <f aca="false">CHOOSE(Supuestos!$C$5,Pesimista!C75,Base!C75,Optimista!C75)</f>
        <v>3</v>
      </c>
      <c r="D32" s="34" t="n">
        <f aca="false">CHOOSE(Supuestos!$C$5,Pesimista!D75,Base!D75,Optimista!D75)</f>
        <v>3</v>
      </c>
      <c r="E32" s="34" t="n">
        <f aca="false">CHOOSE(Supuestos!$C$5,Pesimista!E75,Base!E75,Optimista!E75)</f>
        <v>4</v>
      </c>
      <c r="F32" s="34" t="n">
        <f aca="false">CHOOSE(Supuestos!$C$5,Pesimista!F75,Base!F75,Optimista!F75)</f>
        <v>5</v>
      </c>
      <c r="G32" s="34" t="n">
        <f aca="false">CHOOSE(Supuestos!$C$5,Pesimista!G75,Base!G75,Optimista!G75)</f>
        <v>6</v>
      </c>
    </row>
    <row r="33" customFormat="false" ht="15" hidden="false" customHeight="true" outlineLevel="0" collapsed="false">
      <c r="A33" s="10" t="s">
        <v>209</v>
      </c>
      <c r="C33" s="29" t="n">
        <f aca="false">CHOOSE(Supuestos!$C$5,Pesimista!C77,Base!C77,Optimista!C77)</f>
        <v>39</v>
      </c>
      <c r="D33" s="29" t="n">
        <f aca="false">CHOOSE(Supuestos!$C$5,Pesimista!D77,Base!D77,Optimista!D77)</f>
        <v>61</v>
      </c>
      <c r="E33" s="29" t="n">
        <f aca="false">CHOOSE(Supuestos!$C$5,Pesimista!E77,Base!E77,Optimista!E77)</f>
        <v>510</v>
      </c>
      <c r="F33" s="29" t="n">
        <f aca="false">CHOOSE(Supuestos!$C$5,Pesimista!F77,Base!F77,Optimista!F77)</f>
        <v>612</v>
      </c>
      <c r="G33" s="29" t="n">
        <f aca="false">CHOOSE(Supuestos!$C$5,Pesimista!G77,Base!G77,Optimista!G77)</f>
        <v>718</v>
      </c>
    </row>
    <row r="35" customFormat="false" ht="15" hidden="false" customHeight="true" outlineLevel="0" collapsed="false">
      <c r="A35" s="8" t="s">
        <v>210</v>
      </c>
      <c r="B35" s="9"/>
      <c r="C35" s="9"/>
      <c r="D35" s="9"/>
      <c r="E35" s="9"/>
      <c r="F35" s="9"/>
      <c r="G35" s="9"/>
    </row>
    <row r="36" customFormat="false" ht="15" hidden="false" customHeight="true" outlineLevel="0" collapsed="false">
      <c r="A36" s="10" t="s">
        <v>211</v>
      </c>
      <c r="B36" s="30" t="n">
        <f aca="false">Supuestos!$C$71</f>
        <v>500000</v>
      </c>
    </row>
    <row r="37" customFormat="false" ht="15" hidden="false" customHeight="true" outlineLevel="0" collapsed="false">
      <c r="A37" s="10" t="s">
        <v>212</v>
      </c>
      <c r="B37" s="30" t="n">
        <f aca="false">Supuestos!$C$72</f>
        <v>1000000</v>
      </c>
    </row>
    <row r="38" customFormat="false" ht="15" hidden="false" customHeight="true" outlineLevel="0" collapsed="false">
      <c r="A38" s="10" t="s">
        <v>213</v>
      </c>
      <c r="B38" s="30" t="n">
        <f aca="false">Supuestos!$C$73</f>
        <v>0</v>
      </c>
    </row>
    <row r="39" customFormat="false" ht="15" hidden="false" customHeight="true" outlineLevel="0" collapsed="false">
      <c r="A39" s="16" t="s">
        <v>214</v>
      </c>
      <c r="B39" s="35" t="n">
        <f aca="false">SUM(B36:B38)</f>
        <v>1500000</v>
      </c>
    </row>
    <row r="41" customFormat="false" ht="15" hidden="false" customHeight="true" outlineLevel="0" collapsed="false">
      <c r="A41" s="8" t="s">
        <v>215</v>
      </c>
      <c r="B41" s="9"/>
      <c r="C41" s="9"/>
      <c r="D41" s="9"/>
      <c r="E41" s="9"/>
      <c r="F41" s="9"/>
      <c r="G41" s="9"/>
    </row>
    <row r="42" customFormat="false" ht="15" hidden="false" customHeight="true" outlineLevel="0" collapsed="false">
      <c r="A42" s="10" t="s">
        <v>216</v>
      </c>
      <c r="B42" s="32" t="n">
        <f aca="false">CHOOSE(Supuestos!$C$5,Pesimista!C80,Base!C80,Optimista!C80)</f>
        <v>102.135639287027</v>
      </c>
    </row>
    <row r="43" customFormat="false" ht="15" hidden="false" customHeight="true" outlineLevel="0" collapsed="false">
      <c r="A43" s="10" t="s">
        <v>217</v>
      </c>
      <c r="B43" s="33" t="n">
        <f aca="false">CHOOSE(Supuestos!$C$5,Pesimista!C81,Base!C81,Optimista!C81)</f>
        <v>7.33386200616087</v>
      </c>
    </row>
    <row r="44" customFormat="false" ht="15" hidden="false" customHeight="true" outlineLevel="0" collapsed="false">
      <c r="A44" s="10" t="s">
        <v>218</v>
      </c>
      <c r="B44" s="34" t="n">
        <f aca="false">CHOOSE(Supuestos!$C$5,Pesimista!C82,Base!C82,Optimista!C82)</f>
        <v>1</v>
      </c>
    </row>
    <row r="45" customFormat="false" ht="15" hidden="false" customHeight="true" outlineLevel="0" collapsed="false">
      <c r="A45" s="10" t="s">
        <v>219</v>
      </c>
      <c r="B45" s="32" t="n">
        <f aca="false">CHOOSE(Supuestos!$C$5,Pesimista!C83,Base!C83,Optimista!C83)</f>
        <v>3.491569132</v>
      </c>
    </row>
    <row r="46" customFormat="false" ht="15" hidden="false" customHeight="true" outlineLevel="0" collapsed="false">
      <c r="A46" s="10" t="s">
        <v>220</v>
      </c>
      <c r="B46" s="34" t="n">
        <f aca="false">CHOOSE(Supuestos!$C$5,Pesimista!C84,Base!C84,Optimista!C84)</f>
        <v>5</v>
      </c>
    </row>
    <row r="47" customFormat="false" ht="15" hidden="false" customHeight="true" outlineLevel="0" collapsed="false">
      <c r="A47" s="16" t="s">
        <v>221</v>
      </c>
      <c r="B47" s="35" t="n">
        <f aca="false">MAX(0,B45*1000000-B39)</f>
        <v>1991569.132</v>
      </c>
    </row>
    <row r="49" customFormat="false" ht="15" hidden="false" customHeight="true" outlineLevel="0" collapsed="false">
      <c r="A49" s="8" t="s">
        <v>222</v>
      </c>
      <c r="B49" s="9"/>
      <c r="C49" s="9"/>
      <c r="D49" s="9"/>
      <c r="E49" s="9"/>
      <c r="F49" s="9"/>
      <c r="G49" s="9"/>
    </row>
    <row r="50" customFormat="false" ht="15" hidden="false" customHeight="true" outlineLevel="0" collapsed="false">
      <c r="A50" s="10" t="s">
        <v>156</v>
      </c>
      <c r="B50" s="30" t="n">
        <f aca="false">Supuestos!$C$78</f>
        <v>4000000</v>
      </c>
    </row>
    <row r="51" customFormat="false" ht="15" hidden="false" customHeight="true" outlineLevel="0" collapsed="false">
      <c r="A51" s="10" t="s">
        <v>223</v>
      </c>
      <c r="B51" s="30" t="n">
        <f aca="false">Supuestos!$C$79</f>
        <v>6000000</v>
      </c>
    </row>
    <row r="52" customFormat="false" ht="15" hidden="false" customHeight="true" outlineLevel="0" collapsed="false">
      <c r="A52" s="10" t="s">
        <v>224</v>
      </c>
      <c r="B52" s="30" t="n">
        <f aca="false">Supuestos!$C$80</f>
        <v>5850000</v>
      </c>
    </row>
    <row r="53" customFormat="false" ht="15" hidden="false" customHeight="true" outlineLevel="0" collapsed="false">
      <c r="A53" s="16" t="s">
        <v>225</v>
      </c>
      <c r="B53" s="35" t="n">
        <f aca="false">SUM(B50:B52)</f>
        <v>15850000</v>
      </c>
    </row>
    <row r="54" customFormat="false" ht="15" hidden="false" customHeight="true" outlineLevel="0" collapsed="false">
      <c r="A54" s="10" t="s">
        <v>226</v>
      </c>
      <c r="B54" s="36" t="n">
        <f aca="false">B45*1000000</f>
        <v>3491569.132</v>
      </c>
    </row>
    <row r="55" customFormat="false" ht="15" hidden="false" customHeight="true" outlineLevel="0" collapsed="false">
      <c r="A55" s="16" t="s">
        <v>227</v>
      </c>
      <c r="B55" s="35" t="n">
        <f aca="false">B53-B54</f>
        <v>12358430.868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4" min="2" style="1" width="16"/>
  </cols>
  <sheetData>
    <row r="1" customFormat="false" ht="17.25" hidden="false" customHeight="true" outlineLevel="0" collapsed="false">
      <c r="A1" s="6" t="s">
        <v>228</v>
      </c>
    </row>
    <row r="2" customFormat="false" ht="15" hidden="false" customHeight="true" outlineLevel="0" collapsed="false">
      <c r="A2" s="16" t="str">
        <f aca="false">"Modo de equipo: "&amp;IF(Supuestos!$C$8=1,"según carga de trabajo","calendario del plan original")</f>
        <v>Modo de equipo: según carga de trabajo</v>
      </c>
    </row>
    <row r="4" customFormat="false" ht="15" hidden="false" customHeight="true" outlineLevel="0" collapsed="false">
      <c r="A4" s="8" t="s">
        <v>229</v>
      </c>
      <c r="B4" s="8" t="s">
        <v>34</v>
      </c>
      <c r="C4" s="8" t="s">
        <v>35</v>
      </c>
      <c r="D4" s="8" t="s">
        <v>36</v>
      </c>
    </row>
    <row r="5" customFormat="false" ht="15" hidden="false" customHeight="true" outlineLevel="0" collapsed="false">
      <c r="A5" s="10" t="s">
        <v>45</v>
      </c>
      <c r="B5" s="29" t="n">
        <f aca="false">Pesimista!G53</f>
        <v>600</v>
      </c>
      <c r="C5" s="29" t="n">
        <f aca="false">Base!G53</f>
        <v>1200</v>
      </c>
      <c r="D5" s="29" t="n">
        <f aca="false">Optimista!G53</f>
        <v>1600</v>
      </c>
    </row>
    <row r="6" customFormat="false" ht="15" hidden="false" customHeight="true" outlineLevel="0" collapsed="false">
      <c r="A6" s="10" t="s">
        <v>230</v>
      </c>
      <c r="B6" s="32" t="n">
        <f aca="false">Pesimista!C57</f>
        <v>14.9625</v>
      </c>
      <c r="C6" s="32" t="n">
        <f aca="false">Base!C57</f>
        <v>29.925</v>
      </c>
      <c r="D6" s="32" t="n">
        <f aca="false">Optimista!C57</f>
        <v>37.40625</v>
      </c>
    </row>
    <row r="7" customFormat="false" ht="15" hidden="false" customHeight="true" outlineLevel="0" collapsed="false">
      <c r="A7" s="10" t="s">
        <v>231</v>
      </c>
      <c r="B7" s="32" t="n">
        <f aca="false">Pesimista!G57</f>
        <v>309.179208515625</v>
      </c>
      <c r="C7" s="32" t="n">
        <f aca="false">Base!G57</f>
        <v>618.35841703125</v>
      </c>
      <c r="D7" s="32" t="n">
        <f aca="false">Optimista!G57</f>
        <v>824.477889375</v>
      </c>
    </row>
    <row r="8" customFormat="false" ht="15" hidden="false" customHeight="true" outlineLevel="0" collapsed="false">
      <c r="A8" s="10" t="s">
        <v>232</v>
      </c>
      <c r="B8" s="32" t="n">
        <f aca="false">Pesimista!C70</f>
        <v>-1.93666476</v>
      </c>
      <c r="C8" s="32" t="n">
        <f aca="false">Base!C70</f>
        <v>6.925561656</v>
      </c>
      <c r="D8" s="32" t="n">
        <f aca="false">Optimista!C70</f>
        <v>11.971796031</v>
      </c>
    </row>
    <row r="9" customFormat="false" ht="15" hidden="false" customHeight="true" outlineLevel="0" collapsed="false">
      <c r="A9" s="10" t="s">
        <v>233</v>
      </c>
      <c r="B9" s="32" t="n">
        <f aca="false">Pesimista!G70</f>
        <v>-18.4860266819447</v>
      </c>
      <c r="C9" s="32" t="n">
        <f aca="false">Base!G70</f>
        <v>122.56004341427</v>
      </c>
      <c r="D9" s="32" t="n">
        <f aca="false">Optimista!G70</f>
        <v>224.978978206845</v>
      </c>
    </row>
    <row r="10" customFormat="false" ht="15" hidden="false" customHeight="true" outlineLevel="0" collapsed="false">
      <c r="A10" s="10" t="s">
        <v>234</v>
      </c>
      <c r="B10" s="32" t="n">
        <f aca="false">SUM(Pesimista!C74:G74)</f>
        <v>382.33123102908</v>
      </c>
      <c r="C10" s="32" t="n">
        <f aca="false">SUM(Base!C74:G74)</f>
        <v>205.96295395395</v>
      </c>
      <c r="D10" s="32" t="n">
        <f aca="false">SUM(Optimista!C74:G74)</f>
        <v>205.96295395395</v>
      </c>
    </row>
    <row r="11" customFormat="false" ht="15" hidden="false" customHeight="true" outlineLevel="0" collapsed="false">
      <c r="A11" s="10" t="s">
        <v>235</v>
      </c>
      <c r="B11" s="34" t="n">
        <f aca="false">Pesimista!G75</f>
        <v>4</v>
      </c>
      <c r="C11" s="34" t="n">
        <f aca="false">Base!G75</f>
        <v>6</v>
      </c>
      <c r="D11" s="34" t="n">
        <f aca="false">Optimista!G75</f>
        <v>7</v>
      </c>
    </row>
    <row r="12" customFormat="false" ht="15" hidden="false" customHeight="true" outlineLevel="0" collapsed="false">
      <c r="A12" s="10" t="s">
        <v>216</v>
      </c>
      <c r="B12" s="32" t="n">
        <f aca="false">Pesimista!C80</f>
        <v>0.84796043240187</v>
      </c>
      <c r="C12" s="32" t="n">
        <f aca="false">Base!C80</f>
        <v>102.135639287027</v>
      </c>
      <c r="D12" s="32" t="n">
        <f aca="false">Optimista!C80</f>
        <v>206.635498119193</v>
      </c>
    </row>
    <row r="13" customFormat="false" ht="15" hidden="false" customHeight="true" outlineLevel="0" collapsed="false">
      <c r="A13" s="10" t="s">
        <v>217</v>
      </c>
      <c r="B13" s="33" t="n">
        <f aca="false">Pesimista!C81</f>
        <v>0.176890017201428</v>
      </c>
      <c r="C13" s="33" t="n">
        <f aca="false">Base!C81</f>
        <v>7.33386200616087</v>
      </c>
      <c r="D13" s="33" t="n">
        <f aca="false">Optimista!C81</f>
        <v>10.5283705758749</v>
      </c>
    </row>
    <row r="14" customFormat="false" ht="15" hidden="false" customHeight="true" outlineLevel="0" collapsed="false">
      <c r="A14" s="10" t="s">
        <v>218</v>
      </c>
      <c r="B14" s="34" t="n">
        <f aca="false">Pesimista!C82</f>
        <v>2</v>
      </c>
      <c r="C14" s="34" t="n">
        <f aca="false">Base!C82</f>
        <v>1</v>
      </c>
      <c r="D14" s="34" t="n">
        <f aca="false">Optimista!C82</f>
        <v>1</v>
      </c>
    </row>
    <row r="15" customFormat="false" ht="15" hidden="false" customHeight="true" outlineLevel="0" collapsed="false">
      <c r="A15" s="10" t="s">
        <v>219</v>
      </c>
      <c r="B15" s="32" t="n">
        <f aca="false">Pesimista!C83</f>
        <v>5.54980484</v>
      </c>
      <c r="C15" s="32" t="n">
        <f aca="false">Base!C83</f>
        <v>3.491569132</v>
      </c>
      <c r="D15" s="32" t="n">
        <f aca="false">Optimista!C83</f>
        <v>2.85469197</v>
      </c>
    </row>
    <row r="16" customFormat="false" ht="15" hidden="false" customHeight="true" outlineLevel="0" collapsed="false">
      <c r="A16" s="10" t="s">
        <v>220</v>
      </c>
      <c r="B16" s="34" t="n">
        <f aca="false">Pesimista!C84</f>
        <v>9</v>
      </c>
      <c r="C16" s="34" t="n">
        <f aca="false">Base!C84</f>
        <v>5</v>
      </c>
      <c r="D16" s="34" t="n">
        <f aca="false">Optimista!C84</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62" min="3" style="1" width="12"/>
  </cols>
  <sheetData>
    <row r="1" customFormat="false" ht="17.25" hidden="false" customHeight="true" outlineLevel="0" collapsed="false">
      <c r="A1" s="6" t="s">
        <v>236</v>
      </c>
    </row>
    <row r="2" customFormat="false" ht="15" hidden="false" customHeight="true" outlineLevel="0" collapsed="false">
      <c r="A2" s="10" t="s">
        <v>237</v>
      </c>
      <c r="B2" s="10" t="n">
        <v>1</v>
      </c>
    </row>
    <row r="3" customFormat="false" ht="15" hidden="false" customHeight="true" outlineLevel="0" collapsed="false">
      <c r="A3" s="7" t="s">
        <v>238</v>
      </c>
    </row>
    <row r="5" customFormat="false" ht="15" hidden="false" customHeight="true" outlineLevel="0" collapsed="false">
      <c r="A5" s="28" t="s">
        <v>54</v>
      </c>
      <c r="B5" s="37"/>
      <c r="C5" s="38" t="n">
        <v>1</v>
      </c>
      <c r="D5" s="38" t="n">
        <v>2</v>
      </c>
      <c r="E5" s="38" t="n">
        <v>3</v>
      </c>
      <c r="F5" s="38" t="n">
        <v>4</v>
      </c>
      <c r="G5" s="38" t="n">
        <v>5</v>
      </c>
      <c r="H5" s="38" t="n">
        <v>6</v>
      </c>
      <c r="I5" s="38" t="n">
        <v>7</v>
      </c>
      <c r="J5" s="38" t="n">
        <v>8</v>
      </c>
      <c r="K5" s="38" t="n">
        <v>9</v>
      </c>
      <c r="L5" s="38" t="n">
        <v>10</v>
      </c>
      <c r="M5" s="38" t="n">
        <v>11</v>
      </c>
      <c r="N5" s="38" t="n">
        <v>12</v>
      </c>
      <c r="O5" s="38" t="n">
        <v>13</v>
      </c>
      <c r="P5" s="38" t="n">
        <v>14</v>
      </c>
      <c r="Q5" s="38" t="n">
        <v>15</v>
      </c>
      <c r="R5" s="38" t="n">
        <v>16</v>
      </c>
      <c r="S5" s="38" t="n">
        <v>17</v>
      </c>
      <c r="T5" s="38" t="n">
        <v>18</v>
      </c>
      <c r="U5" s="38" t="n">
        <v>19</v>
      </c>
      <c r="V5" s="38" t="n">
        <v>20</v>
      </c>
      <c r="W5" s="38" t="n">
        <v>21</v>
      </c>
      <c r="X5" s="38" t="n">
        <v>22</v>
      </c>
      <c r="Y5" s="38" t="n">
        <v>23</v>
      </c>
      <c r="Z5" s="38" t="n">
        <v>24</v>
      </c>
      <c r="AA5" s="38" t="n">
        <v>25</v>
      </c>
      <c r="AB5" s="38" t="n">
        <v>26</v>
      </c>
      <c r="AC5" s="38" t="n">
        <v>27</v>
      </c>
      <c r="AD5" s="38" t="n">
        <v>28</v>
      </c>
      <c r="AE5" s="38" t="n">
        <v>29</v>
      </c>
      <c r="AF5" s="38" t="n">
        <v>30</v>
      </c>
      <c r="AG5" s="38" t="n">
        <v>31</v>
      </c>
      <c r="AH5" s="38" t="n">
        <v>32</v>
      </c>
      <c r="AI5" s="38" t="n">
        <v>33</v>
      </c>
      <c r="AJ5" s="38" t="n">
        <v>34</v>
      </c>
      <c r="AK5" s="38" t="n">
        <v>35</v>
      </c>
      <c r="AL5" s="38" t="n">
        <v>36</v>
      </c>
      <c r="AM5" s="38" t="n">
        <v>37</v>
      </c>
      <c r="AN5" s="38" t="n">
        <v>38</v>
      </c>
      <c r="AO5" s="38" t="n">
        <v>39</v>
      </c>
      <c r="AP5" s="38" t="n">
        <v>40</v>
      </c>
      <c r="AQ5" s="38" t="n">
        <v>41</v>
      </c>
      <c r="AR5" s="38" t="n">
        <v>42</v>
      </c>
      <c r="AS5" s="38" t="n">
        <v>43</v>
      </c>
      <c r="AT5" s="38" t="n">
        <v>44</v>
      </c>
      <c r="AU5" s="38" t="n">
        <v>45</v>
      </c>
      <c r="AV5" s="38" t="n">
        <v>46</v>
      </c>
      <c r="AW5" s="38" t="n">
        <v>47</v>
      </c>
      <c r="AX5" s="38" t="n">
        <v>48</v>
      </c>
      <c r="AY5" s="38" t="n">
        <v>49</v>
      </c>
      <c r="AZ5" s="38" t="n">
        <v>50</v>
      </c>
      <c r="BA5" s="38" t="n">
        <v>51</v>
      </c>
      <c r="BB5" s="38" t="n">
        <v>52</v>
      </c>
      <c r="BC5" s="38" t="n">
        <v>53</v>
      </c>
      <c r="BD5" s="38" t="n">
        <v>54</v>
      </c>
      <c r="BE5" s="38" t="n">
        <v>55</v>
      </c>
      <c r="BF5" s="38" t="n">
        <v>56</v>
      </c>
      <c r="BG5" s="38" t="n">
        <v>57</v>
      </c>
      <c r="BH5" s="38" t="n">
        <v>58</v>
      </c>
      <c r="BI5" s="38" t="n">
        <v>59</v>
      </c>
      <c r="BJ5" s="38" t="n">
        <v>60</v>
      </c>
    </row>
    <row r="6" customFormat="false" ht="15" hidden="false" customHeight="true" outlineLevel="0" collapsed="false">
      <c r="A6" s="10" t="s">
        <v>239</v>
      </c>
      <c r="B6" s="7"/>
      <c r="C6" s="39" t="n">
        <f aca="false">ROUNDUP(C5/12,0)</f>
        <v>1</v>
      </c>
      <c r="D6" s="39" t="n">
        <f aca="false">ROUNDUP(D5/12,0)</f>
        <v>1</v>
      </c>
      <c r="E6" s="39" t="n">
        <f aca="false">ROUNDUP(E5/12,0)</f>
        <v>1</v>
      </c>
      <c r="F6" s="39" t="n">
        <f aca="false">ROUNDUP(F5/12,0)</f>
        <v>1</v>
      </c>
      <c r="G6" s="39" t="n">
        <f aca="false">ROUNDUP(G5/12,0)</f>
        <v>1</v>
      </c>
      <c r="H6" s="39" t="n">
        <f aca="false">ROUNDUP(H5/12,0)</f>
        <v>1</v>
      </c>
      <c r="I6" s="39" t="n">
        <f aca="false">ROUNDUP(I5/12,0)</f>
        <v>1</v>
      </c>
      <c r="J6" s="39" t="n">
        <f aca="false">ROUNDUP(J5/12,0)</f>
        <v>1</v>
      </c>
      <c r="K6" s="39" t="n">
        <f aca="false">ROUNDUP(K5/12,0)</f>
        <v>1</v>
      </c>
      <c r="L6" s="39" t="n">
        <f aca="false">ROUNDUP(L5/12,0)</f>
        <v>1</v>
      </c>
      <c r="M6" s="39" t="n">
        <f aca="false">ROUNDUP(M5/12,0)</f>
        <v>1</v>
      </c>
      <c r="N6" s="39" t="n">
        <f aca="false">ROUNDUP(N5/12,0)</f>
        <v>1</v>
      </c>
      <c r="O6" s="39" t="n">
        <f aca="false">ROUNDUP(O5/12,0)</f>
        <v>2</v>
      </c>
      <c r="P6" s="39" t="n">
        <f aca="false">ROUNDUP(P5/12,0)</f>
        <v>2</v>
      </c>
      <c r="Q6" s="39" t="n">
        <f aca="false">ROUNDUP(Q5/12,0)</f>
        <v>2</v>
      </c>
      <c r="R6" s="39" t="n">
        <f aca="false">ROUNDUP(R5/12,0)</f>
        <v>2</v>
      </c>
      <c r="S6" s="39" t="n">
        <f aca="false">ROUNDUP(S5/12,0)</f>
        <v>2</v>
      </c>
      <c r="T6" s="39" t="n">
        <f aca="false">ROUNDUP(T5/12,0)</f>
        <v>2</v>
      </c>
      <c r="U6" s="39" t="n">
        <f aca="false">ROUNDUP(U5/12,0)</f>
        <v>2</v>
      </c>
      <c r="V6" s="39" t="n">
        <f aca="false">ROUNDUP(V5/12,0)</f>
        <v>2</v>
      </c>
      <c r="W6" s="39" t="n">
        <f aca="false">ROUNDUP(W5/12,0)</f>
        <v>2</v>
      </c>
      <c r="X6" s="39" t="n">
        <f aca="false">ROUNDUP(X5/12,0)</f>
        <v>2</v>
      </c>
      <c r="Y6" s="39" t="n">
        <f aca="false">ROUNDUP(Y5/12,0)</f>
        <v>2</v>
      </c>
      <c r="Z6" s="39" t="n">
        <f aca="false">ROUNDUP(Z5/12,0)</f>
        <v>2</v>
      </c>
      <c r="AA6" s="39" t="n">
        <f aca="false">ROUNDUP(AA5/12,0)</f>
        <v>3</v>
      </c>
      <c r="AB6" s="39" t="n">
        <f aca="false">ROUNDUP(AB5/12,0)</f>
        <v>3</v>
      </c>
      <c r="AC6" s="39" t="n">
        <f aca="false">ROUNDUP(AC5/12,0)</f>
        <v>3</v>
      </c>
      <c r="AD6" s="39" t="n">
        <f aca="false">ROUNDUP(AD5/12,0)</f>
        <v>3</v>
      </c>
      <c r="AE6" s="39" t="n">
        <f aca="false">ROUNDUP(AE5/12,0)</f>
        <v>3</v>
      </c>
      <c r="AF6" s="39" t="n">
        <f aca="false">ROUNDUP(AF5/12,0)</f>
        <v>3</v>
      </c>
      <c r="AG6" s="39" t="n">
        <f aca="false">ROUNDUP(AG5/12,0)</f>
        <v>3</v>
      </c>
      <c r="AH6" s="39" t="n">
        <f aca="false">ROUNDUP(AH5/12,0)</f>
        <v>3</v>
      </c>
      <c r="AI6" s="39" t="n">
        <f aca="false">ROUNDUP(AI5/12,0)</f>
        <v>3</v>
      </c>
      <c r="AJ6" s="39" t="n">
        <f aca="false">ROUNDUP(AJ5/12,0)</f>
        <v>3</v>
      </c>
      <c r="AK6" s="39" t="n">
        <f aca="false">ROUNDUP(AK5/12,0)</f>
        <v>3</v>
      </c>
      <c r="AL6" s="39" t="n">
        <f aca="false">ROUNDUP(AL5/12,0)</f>
        <v>3</v>
      </c>
      <c r="AM6" s="39" t="n">
        <f aca="false">ROUNDUP(AM5/12,0)</f>
        <v>4</v>
      </c>
      <c r="AN6" s="39" t="n">
        <f aca="false">ROUNDUP(AN5/12,0)</f>
        <v>4</v>
      </c>
      <c r="AO6" s="39" t="n">
        <f aca="false">ROUNDUP(AO5/12,0)</f>
        <v>4</v>
      </c>
      <c r="AP6" s="39" t="n">
        <f aca="false">ROUNDUP(AP5/12,0)</f>
        <v>4</v>
      </c>
      <c r="AQ6" s="39" t="n">
        <f aca="false">ROUNDUP(AQ5/12,0)</f>
        <v>4</v>
      </c>
      <c r="AR6" s="39" t="n">
        <f aca="false">ROUNDUP(AR5/12,0)</f>
        <v>4</v>
      </c>
      <c r="AS6" s="39" t="n">
        <f aca="false">ROUNDUP(AS5/12,0)</f>
        <v>4</v>
      </c>
      <c r="AT6" s="39" t="n">
        <f aca="false">ROUNDUP(AT5/12,0)</f>
        <v>4</v>
      </c>
      <c r="AU6" s="39" t="n">
        <f aca="false">ROUNDUP(AU5/12,0)</f>
        <v>4</v>
      </c>
      <c r="AV6" s="39" t="n">
        <f aca="false">ROUNDUP(AV5/12,0)</f>
        <v>4</v>
      </c>
      <c r="AW6" s="39" t="n">
        <f aca="false">ROUNDUP(AW5/12,0)</f>
        <v>4</v>
      </c>
      <c r="AX6" s="39" t="n">
        <f aca="false">ROUNDUP(AX5/12,0)</f>
        <v>4</v>
      </c>
      <c r="AY6" s="39" t="n">
        <f aca="false">ROUNDUP(AY5/12,0)</f>
        <v>5</v>
      </c>
      <c r="AZ6" s="39" t="n">
        <f aca="false">ROUNDUP(AZ5/12,0)</f>
        <v>5</v>
      </c>
      <c r="BA6" s="39" t="n">
        <f aca="false">ROUNDUP(BA5/12,0)</f>
        <v>5</v>
      </c>
      <c r="BB6" s="39" t="n">
        <f aca="false">ROUNDUP(BB5/12,0)</f>
        <v>5</v>
      </c>
      <c r="BC6" s="39" t="n">
        <f aca="false">ROUNDUP(BC5/12,0)</f>
        <v>5</v>
      </c>
      <c r="BD6" s="39" t="n">
        <f aca="false">ROUNDUP(BD5/12,0)</f>
        <v>5</v>
      </c>
      <c r="BE6" s="39" t="n">
        <f aca="false">ROUNDUP(BE5/12,0)</f>
        <v>5</v>
      </c>
      <c r="BF6" s="39" t="n">
        <f aca="false">ROUNDUP(BF5/12,0)</f>
        <v>5</v>
      </c>
      <c r="BG6" s="39" t="n">
        <f aca="false">ROUNDUP(BG5/12,0)</f>
        <v>5</v>
      </c>
      <c r="BH6" s="39" t="n">
        <f aca="false">ROUNDUP(BH5/12,0)</f>
        <v>5</v>
      </c>
      <c r="BI6" s="39" t="n">
        <f aca="false">ROUNDUP(BI5/12,0)</f>
        <v>5</v>
      </c>
      <c r="BJ6" s="39" t="n">
        <f aca="false">ROUNDUP(BJ5/12,0)</f>
        <v>5</v>
      </c>
    </row>
    <row r="7" customFormat="false" ht="15" hidden="false" customHeight="true" outlineLevel="0" collapsed="false">
      <c r="A7" s="10" t="s">
        <v>240</v>
      </c>
      <c r="B7" s="7"/>
      <c r="C7" s="39" t="n">
        <f aca="false">C5-(C6-1)*12</f>
        <v>1</v>
      </c>
      <c r="D7" s="39" t="n">
        <f aca="false">D5-(D6-1)*12</f>
        <v>2</v>
      </c>
      <c r="E7" s="39" t="n">
        <f aca="false">E5-(E6-1)*12</f>
        <v>3</v>
      </c>
      <c r="F7" s="39" t="n">
        <f aca="false">F5-(F6-1)*12</f>
        <v>4</v>
      </c>
      <c r="G7" s="39" t="n">
        <f aca="false">G5-(G6-1)*12</f>
        <v>5</v>
      </c>
      <c r="H7" s="39" t="n">
        <f aca="false">H5-(H6-1)*12</f>
        <v>6</v>
      </c>
      <c r="I7" s="39" t="n">
        <f aca="false">I5-(I6-1)*12</f>
        <v>7</v>
      </c>
      <c r="J7" s="39" t="n">
        <f aca="false">J5-(J6-1)*12</f>
        <v>8</v>
      </c>
      <c r="K7" s="39" t="n">
        <f aca="false">K5-(K6-1)*12</f>
        <v>9</v>
      </c>
      <c r="L7" s="39" t="n">
        <f aca="false">L5-(L6-1)*12</f>
        <v>10</v>
      </c>
      <c r="M7" s="39" t="n">
        <f aca="false">M5-(M6-1)*12</f>
        <v>11</v>
      </c>
      <c r="N7" s="39" t="n">
        <f aca="false">N5-(N6-1)*12</f>
        <v>12</v>
      </c>
      <c r="O7" s="39" t="n">
        <f aca="false">O5-(O6-1)*12</f>
        <v>1</v>
      </c>
      <c r="P7" s="39" t="n">
        <f aca="false">P5-(P6-1)*12</f>
        <v>2</v>
      </c>
      <c r="Q7" s="39" t="n">
        <f aca="false">Q5-(Q6-1)*12</f>
        <v>3</v>
      </c>
      <c r="R7" s="39" t="n">
        <f aca="false">R5-(R6-1)*12</f>
        <v>4</v>
      </c>
      <c r="S7" s="39" t="n">
        <f aca="false">S5-(S6-1)*12</f>
        <v>5</v>
      </c>
      <c r="T7" s="39" t="n">
        <f aca="false">T5-(T6-1)*12</f>
        <v>6</v>
      </c>
      <c r="U7" s="39" t="n">
        <f aca="false">U5-(U6-1)*12</f>
        <v>7</v>
      </c>
      <c r="V7" s="39" t="n">
        <f aca="false">V5-(V6-1)*12</f>
        <v>8</v>
      </c>
      <c r="W7" s="39" t="n">
        <f aca="false">W5-(W6-1)*12</f>
        <v>9</v>
      </c>
      <c r="X7" s="39" t="n">
        <f aca="false">X5-(X6-1)*12</f>
        <v>10</v>
      </c>
      <c r="Y7" s="39" t="n">
        <f aca="false">Y5-(Y6-1)*12</f>
        <v>11</v>
      </c>
      <c r="Z7" s="39" t="n">
        <f aca="false">Z5-(Z6-1)*12</f>
        <v>12</v>
      </c>
      <c r="AA7" s="39" t="n">
        <f aca="false">AA5-(AA6-1)*12</f>
        <v>1</v>
      </c>
      <c r="AB7" s="39" t="n">
        <f aca="false">AB5-(AB6-1)*12</f>
        <v>2</v>
      </c>
      <c r="AC7" s="39" t="n">
        <f aca="false">AC5-(AC6-1)*12</f>
        <v>3</v>
      </c>
      <c r="AD7" s="39" t="n">
        <f aca="false">AD5-(AD6-1)*12</f>
        <v>4</v>
      </c>
      <c r="AE7" s="39" t="n">
        <f aca="false">AE5-(AE6-1)*12</f>
        <v>5</v>
      </c>
      <c r="AF7" s="39" t="n">
        <f aca="false">AF5-(AF6-1)*12</f>
        <v>6</v>
      </c>
      <c r="AG7" s="39" t="n">
        <f aca="false">AG5-(AG6-1)*12</f>
        <v>7</v>
      </c>
      <c r="AH7" s="39" t="n">
        <f aca="false">AH5-(AH6-1)*12</f>
        <v>8</v>
      </c>
      <c r="AI7" s="39" t="n">
        <f aca="false">AI5-(AI6-1)*12</f>
        <v>9</v>
      </c>
      <c r="AJ7" s="39" t="n">
        <f aca="false">AJ5-(AJ6-1)*12</f>
        <v>10</v>
      </c>
      <c r="AK7" s="39" t="n">
        <f aca="false">AK5-(AK6-1)*12</f>
        <v>11</v>
      </c>
      <c r="AL7" s="39" t="n">
        <f aca="false">AL5-(AL6-1)*12</f>
        <v>12</v>
      </c>
      <c r="AM7" s="39" t="n">
        <f aca="false">AM5-(AM6-1)*12</f>
        <v>1</v>
      </c>
      <c r="AN7" s="39" t="n">
        <f aca="false">AN5-(AN6-1)*12</f>
        <v>2</v>
      </c>
      <c r="AO7" s="39" t="n">
        <f aca="false">AO5-(AO6-1)*12</f>
        <v>3</v>
      </c>
      <c r="AP7" s="39" t="n">
        <f aca="false">AP5-(AP6-1)*12</f>
        <v>4</v>
      </c>
      <c r="AQ7" s="39" t="n">
        <f aca="false">AQ5-(AQ6-1)*12</f>
        <v>5</v>
      </c>
      <c r="AR7" s="39" t="n">
        <f aca="false">AR5-(AR6-1)*12</f>
        <v>6</v>
      </c>
      <c r="AS7" s="39" t="n">
        <f aca="false">AS5-(AS6-1)*12</f>
        <v>7</v>
      </c>
      <c r="AT7" s="39" t="n">
        <f aca="false">AT5-(AT6-1)*12</f>
        <v>8</v>
      </c>
      <c r="AU7" s="39" t="n">
        <f aca="false">AU5-(AU6-1)*12</f>
        <v>9</v>
      </c>
      <c r="AV7" s="39" t="n">
        <f aca="false">AV5-(AV6-1)*12</f>
        <v>10</v>
      </c>
      <c r="AW7" s="39" t="n">
        <f aca="false">AW5-(AW6-1)*12</f>
        <v>11</v>
      </c>
      <c r="AX7" s="39" t="n">
        <f aca="false">AX5-(AX6-1)*12</f>
        <v>12</v>
      </c>
      <c r="AY7" s="39" t="n">
        <f aca="false">AY5-(AY6-1)*12</f>
        <v>1</v>
      </c>
      <c r="AZ7" s="39" t="n">
        <f aca="false">AZ5-(AZ6-1)*12</f>
        <v>2</v>
      </c>
      <c r="BA7" s="39" t="n">
        <f aca="false">BA5-(BA6-1)*12</f>
        <v>3</v>
      </c>
      <c r="BB7" s="39" t="n">
        <f aca="false">BB5-(BB6-1)*12</f>
        <v>4</v>
      </c>
      <c r="BC7" s="39" t="n">
        <f aca="false">BC5-(BC6-1)*12</f>
        <v>5</v>
      </c>
      <c r="BD7" s="39" t="n">
        <f aca="false">BD5-(BD6-1)*12</f>
        <v>6</v>
      </c>
      <c r="BE7" s="39" t="n">
        <f aca="false">BE5-(BE6-1)*12</f>
        <v>7</v>
      </c>
      <c r="BF7" s="39" t="n">
        <f aca="false">BF5-(BF6-1)*12</f>
        <v>8</v>
      </c>
      <c r="BG7" s="39" t="n">
        <f aca="false">BG5-(BG6-1)*12</f>
        <v>9</v>
      </c>
      <c r="BH7" s="39" t="n">
        <f aca="false">BH5-(BH6-1)*12</f>
        <v>10</v>
      </c>
      <c r="BI7" s="39" t="n">
        <f aca="false">BI5-(BI6-1)*12</f>
        <v>11</v>
      </c>
      <c r="BJ7" s="39" t="n">
        <f aca="false">BJ5-(BJ6-1)*12</f>
        <v>12</v>
      </c>
    </row>
    <row r="9" customFormat="false" ht="15" hidden="false" customHeight="true" outlineLevel="0" collapsed="false">
      <c r="A9" s="28" t="s">
        <v>241</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row>
    <row r="10" customFormat="false" ht="15" hidden="false" customHeight="true" outlineLevel="0" collapsed="false">
      <c r="A10" s="10" t="s">
        <v>242</v>
      </c>
      <c r="B10" s="7" t="s">
        <v>73</v>
      </c>
      <c r="C10" s="41" t="n">
        <f aca="false">IF(C6=1,INDEX(Supuestos!$C$22:$N$22,1,C7)*INDEX(Supuestos!$C$11:$E$11,1,$B$2),IF(C6=2,INDEX(Supuestos!$C$11:$E$11,1,$B$2),IF(C6=3,INDEX(Supuestos!$C$12:$E$12,1,$B$2),IF(C6=4,INDEX(Supuestos!$C$13:$E$13,1,$B$2),INDEX(Supuestos!$C$14:$E$14,1,$B$2))))+(IF(C6=2,INDEX(Supuestos!$C$12:$E$12,1,$B$2),IF(C6=3,INDEX(Supuestos!$C$13:$E$13,1,$B$2),IF(C6=4,INDEX(Supuestos!$C$14:$E$14,1,$B$2),INDEX(Supuestos!$C$15:$E$15,1,$B$2))))-IF(C6=2,INDEX(Supuestos!$C$11:$E$11,1,$B$2),IF(C6=3,INDEX(Supuestos!$C$12:$E$12,1,$B$2),IF(C6=4,INDEX(Supuestos!$C$13:$E$13,1,$B$2),INDEX(Supuestos!$C$14:$E$14,1,$B$2)))))*C7/12)</f>
        <v>4.998</v>
      </c>
      <c r="D10" s="41" t="n">
        <f aca="false">IF(D6=1,INDEX(Supuestos!$C$22:$N$22,1,D7)*INDEX(Supuestos!$C$11:$E$11,1,$B$2),IF(D6=2,INDEX(Supuestos!$C$11:$E$11,1,$B$2),IF(D6=3,INDEX(Supuestos!$C$12:$E$12,1,$B$2),IF(D6=4,INDEX(Supuestos!$C$13:$E$13,1,$B$2),INDEX(Supuestos!$C$14:$E$14,1,$B$2))))+(IF(D6=2,INDEX(Supuestos!$C$12:$E$12,1,$B$2),IF(D6=3,INDEX(Supuestos!$C$13:$E$13,1,$B$2),IF(D6=4,INDEX(Supuestos!$C$14:$E$14,1,$B$2),INDEX(Supuestos!$C$15:$E$15,1,$B$2))))-IF(D6=2,INDEX(Supuestos!$C$11:$E$11,1,$B$2),IF(D6=3,INDEX(Supuestos!$C$12:$E$12,1,$B$2),IF(D6=4,INDEX(Supuestos!$C$13:$E$13,1,$B$2),INDEX(Supuestos!$C$14:$E$14,1,$B$2)))))*D7/12)</f>
        <v>7.5</v>
      </c>
      <c r="E10" s="41" t="n">
        <f aca="false">IF(E6=1,INDEX(Supuestos!$C$22:$N$22,1,E7)*INDEX(Supuestos!$C$11:$E$11,1,$B$2),IF(E6=2,INDEX(Supuestos!$C$11:$E$11,1,$B$2),IF(E6=3,INDEX(Supuestos!$C$12:$E$12,1,$B$2),IF(E6=4,INDEX(Supuestos!$C$13:$E$13,1,$B$2),INDEX(Supuestos!$C$14:$E$14,1,$B$2))))+(IF(E6=2,INDEX(Supuestos!$C$12:$E$12,1,$B$2),IF(E6=3,INDEX(Supuestos!$C$13:$E$13,1,$B$2),IF(E6=4,INDEX(Supuestos!$C$14:$E$14,1,$B$2),INDEX(Supuestos!$C$15:$E$15,1,$B$2))))-IF(E6=2,INDEX(Supuestos!$C$11:$E$11,1,$B$2),IF(E6=3,INDEX(Supuestos!$C$12:$E$12,1,$B$2),IF(E6=4,INDEX(Supuestos!$C$13:$E$13,1,$B$2),INDEX(Supuestos!$C$14:$E$14,1,$B$2)))))*E7/12)</f>
        <v>12.498</v>
      </c>
      <c r="F10" s="41" t="n">
        <f aca="false">IF(F6=1,INDEX(Supuestos!$C$22:$N$22,1,F7)*INDEX(Supuestos!$C$11:$E$11,1,$B$2),IF(F6=2,INDEX(Supuestos!$C$11:$E$11,1,$B$2),IF(F6=3,INDEX(Supuestos!$C$12:$E$12,1,$B$2),IF(F6=4,INDEX(Supuestos!$C$13:$E$13,1,$B$2),INDEX(Supuestos!$C$14:$E$14,1,$B$2))))+(IF(F6=2,INDEX(Supuestos!$C$12:$E$12,1,$B$2),IF(F6=3,INDEX(Supuestos!$C$13:$E$13,1,$B$2),IF(F6=4,INDEX(Supuestos!$C$14:$E$14,1,$B$2),INDEX(Supuestos!$C$15:$E$15,1,$B$2))))-IF(F6=2,INDEX(Supuestos!$C$11:$E$11,1,$B$2),IF(F6=3,INDEX(Supuestos!$C$12:$E$12,1,$B$2),IF(F6=4,INDEX(Supuestos!$C$13:$E$13,1,$B$2),INDEX(Supuestos!$C$14:$E$14,1,$B$2)))))*F7/12)</f>
        <v>17.502</v>
      </c>
      <c r="G10" s="41" t="n">
        <f aca="false">IF(G6=1,INDEX(Supuestos!$C$22:$N$22,1,G7)*INDEX(Supuestos!$C$11:$E$11,1,$B$2),IF(G6=2,INDEX(Supuestos!$C$11:$E$11,1,$B$2),IF(G6=3,INDEX(Supuestos!$C$12:$E$12,1,$B$2),IF(G6=4,INDEX(Supuestos!$C$13:$E$13,1,$B$2),INDEX(Supuestos!$C$14:$E$14,1,$B$2))))+(IF(G6=2,INDEX(Supuestos!$C$12:$E$12,1,$B$2),IF(G6=3,INDEX(Supuestos!$C$13:$E$13,1,$B$2),IF(G6=4,INDEX(Supuestos!$C$14:$E$14,1,$B$2),INDEX(Supuestos!$C$15:$E$15,1,$B$2))))-IF(G6=2,INDEX(Supuestos!$C$11:$E$11,1,$B$2),IF(G6=3,INDEX(Supuestos!$C$12:$E$12,1,$B$2),IF(G6=4,INDEX(Supuestos!$C$13:$E$13,1,$B$2),INDEX(Supuestos!$C$14:$E$14,1,$B$2)))))*G7/12)</f>
        <v>22.5</v>
      </c>
      <c r="H10" s="41" t="n">
        <f aca="false">IF(H6=1,INDEX(Supuestos!$C$22:$N$22,1,H7)*INDEX(Supuestos!$C$11:$E$11,1,$B$2),IF(H6=2,INDEX(Supuestos!$C$11:$E$11,1,$B$2),IF(H6=3,INDEX(Supuestos!$C$12:$E$12,1,$B$2),IF(H6=4,INDEX(Supuestos!$C$13:$E$13,1,$B$2),INDEX(Supuestos!$C$14:$E$14,1,$B$2))))+(IF(H6=2,INDEX(Supuestos!$C$12:$E$12,1,$B$2),IF(H6=3,INDEX(Supuestos!$C$13:$E$13,1,$B$2),IF(H6=4,INDEX(Supuestos!$C$14:$E$14,1,$B$2),INDEX(Supuestos!$C$15:$E$15,1,$B$2))))-IF(H6=2,INDEX(Supuestos!$C$11:$E$11,1,$B$2),IF(H6=3,INDEX(Supuestos!$C$12:$E$12,1,$B$2),IF(H6=4,INDEX(Supuestos!$C$13:$E$13,1,$B$2),INDEX(Supuestos!$C$14:$E$14,1,$B$2)))))*H7/12)</f>
        <v>27.498</v>
      </c>
      <c r="I10" s="41" t="n">
        <f aca="false">IF(I6=1,INDEX(Supuestos!$C$22:$N$22,1,I7)*INDEX(Supuestos!$C$11:$E$11,1,$B$2),IF(I6=2,INDEX(Supuestos!$C$11:$E$11,1,$B$2),IF(I6=3,INDEX(Supuestos!$C$12:$E$12,1,$B$2),IF(I6=4,INDEX(Supuestos!$C$13:$E$13,1,$B$2),INDEX(Supuestos!$C$14:$E$14,1,$B$2))))+(IF(I6=2,INDEX(Supuestos!$C$12:$E$12,1,$B$2),IF(I6=3,INDEX(Supuestos!$C$13:$E$13,1,$B$2),IF(I6=4,INDEX(Supuestos!$C$14:$E$14,1,$B$2),INDEX(Supuestos!$C$15:$E$15,1,$B$2))))-IF(I6=2,INDEX(Supuestos!$C$11:$E$11,1,$B$2),IF(I6=3,INDEX(Supuestos!$C$12:$E$12,1,$B$2),IF(I6=4,INDEX(Supuestos!$C$13:$E$13,1,$B$2),INDEX(Supuestos!$C$14:$E$14,1,$B$2)))))*I7/12)</f>
        <v>32.502</v>
      </c>
      <c r="J10" s="41" t="n">
        <f aca="false">IF(J6=1,INDEX(Supuestos!$C$22:$N$22,1,J7)*INDEX(Supuestos!$C$11:$E$11,1,$B$2),IF(J6=2,INDEX(Supuestos!$C$11:$E$11,1,$B$2),IF(J6=3,INDEX(Supuestos!$C$12:$E$12,1,$B$2),IF(J6=4,INDEX(Supuestos!$C$13:$E$13,1,$B$2),INDEX(Supuestos!$C$14:$E$14,1,$B$2))))+(IF(J6=2,INDEX(Supuestos!$C$12:$E$12,1,$B$2),IF(J6=3,INDEX(Supuestos!$C$13:$E$13,1,$B$2),IF(J6=4,INDEX(Supuestos!$C$14:$E$14,1,$B$2),INDEX(Supuestos!$C$15:$E$15,1,$B$2))))-IF(J6=2,INDEX(Supuestos!$C$11:$E$11,1,$B$2),IF(J6=3,INDEX(Supuestos!$C$12:$E$12,1,$B$2),IF(J6=4,INDEX(Supuestos!$C$13:$E$13,1,$B$2),INDEX(Supuestos!$C$14:$E$14,1,$B$2)))))*J7/12)</f>
        <v>40.002</v>
      </c>
      <c r="K10" s="41" t="n">
        <f aca="false">IF(K6=1,INDEX(Supuestos!$C$22:$N$22,1,K7)*INDEX(Supuestos!$C$11:$E$11,1,$B$2),IF(K6=2,INDEX(Supuestos!$C$11:$E$11,1,$B$2),IF(K6=3,INDEX(Supuestos!$C$12:$E$12,1,$B$2),IF(K6=4,INDEX(Supuestos!$C$13:$E$13,1,$B$2),INDEX(Supuestos!$C$14:$E$14,1,$B$2))))+(IF(K6=2,INDEX(Supuestos!$C$12:$E$12,1,$B$2),IF(K6=3,INDEX(Supuestos!$C$13:$E$13,1,$B$2),IF(K6=4,INDEX(Supuestos!$C$14:$E$14,1,$B$2),INDEX(Supuestos!$C$15:$E$15,1,$B$2))))-IF(K6=2,INDEX(Supuestos!$C$11:$E$11,1,$B$2),IF(K6=3,INDEX(Supuestos!$C$12:$E$12,1,$B$2),IF(K6=4,INDEX(Supuestos!$C$13:$E$13,1,$B$2),INDEX(Supuestos!$C$14:$E$14,1,$B$2)))))*K7/12)</f>
        <v>45</v>
      </c>
      <c r="L10" s="41" t="n">
        <f aca="false">IF(L6=1,INDEX(Supuestos!$C$22:$N$22,1,L7)*INDEX(Supuestos!$C$11:$E$11,1,$B$2),IF(L6=2,INDEX(Supuestos!$C$11:$E$11,1,$B$2),IF(L6=3,INDEX(Supuestos!$C$12:$E$12,1,$B$2),IF(L6=4,INDEX(Supuestos!$C$13:$E$13,1,$B$2),INDEX(Supuestos!$C$14:$E$14,1,$B$2))))+(IF(L6=2,INDEX(Supuestos!$C$12:$E$12,1,$B$2),IF(L6=3,INDEX(Supuestos!$C$13:$E$13,1,$B$2),IF(L6=4,INDEX(Supuestos!$C$14:$E$14,1,$B$2),INDEX(Supuestos!$C$15:$E$15,1,$B$2))))-IF(L6=2,INDEX(Supuestos!$C$11:$E$11,1,$B$2),IF(L6=3,INDEX(Supuestos!$C$12:$E$12,1,$B$2),IF(L6=4,INDEX(Supuestos!$C$13:$E$13,1,$B$2),INDEX(Supuestos!$C$14:$E$14,1,$B$2)))))*L7/12)</f>
        <v>49.998</v>
      </c>
      <c r="M10" s="41" t="n">
        <f aca="false">IF(M6=1,INDEX(Supuestos!$C$22:$N$22,1,M7)*INDEX(Supuestos!$C$11:$E$11,1,$B$2),IF(M6=2,INDEX(Supuestos!$C$11:$E$11,1,$B$2),IF(M6=3,INDEX(Supuestos!$C$12:$E$12,1,$B$2),IF(M6=4,INDEX(Supuestos!$C$13:$E$13,1,$B$2),INDEX(Supuestos!$C$14:$E$14,1,$B$2))))+(IF(M6=2,INDEX(Supuestos!$C$12:$E$12,1,$B$2),IF(M6=3,INDEX(Supuestos!$C$13:$E$13,1,$B$2),IF(M6=4,INDEX(Supuestos!$C$14:$E$14,1,$B$2),INDEX(Supuestos!$C$15:$E$15,1,$B$2))))-IF(M6=2,INDEX(Supuestos!$C$11:$E$11,1,$B$2),IF(M6=3,INDEX(Supuestos!$C$12:$E$12,1,$B$2),IF(M6=4,INDEX(Supuestos!$C$13:$E$13,1,$B$2),INDEX(Supuestos!$C$14:$E$14,1,$B$2)))))*M7/12)</f>
        <v>55.002</v>
      </c>
      <c r="N10" s="41" t="n">
        <f aca="false">IF(N6=1,INDEX(Supuestos!$C$22:$N$22,1,N7)*INDEX(Supuestos!$C$11:$E$11,1,$B$2),IF(N6=2,INDEX(Supuestos!$C$11:$E$11,1,$B$2),IF(N6=3,INDEX(Supuestos!$C$12:$E$12,1,$B$2),IF(N6=4,INDEX(Supuestos!$C$13:$E$13,1,$B$2),INDEX(Supuestos!$C$14:$E$14,1,$B$2))))+(IF(N6=2,INDEX(Supuestos!$C$12:$E$12,1,$B$2),IF(N6=3,INDEX(Supuestos!$C$13:$E$13,1,$B$2),IF(N6=4,INDEX(Supuestos!$C$14:$E$14,1,$B$2),INDEX(Supuestos!$C$15:$E$15,1,$B$2))))-IF(N6=2,INDEX(Supuestos!$C$11:$E$11,1,$B$2),IF(N6=3,INDEX(Supuestos!$C$12:$E$12,1,$B$2),IF(N6=4,INDEX(Supuestos!$C$13:$E$13,1,$B$2),INDEX(Supuestos!$C$14:$E$14,1,$B$2)))))*N7/12)</f>
        <v>60</v>
      </c>
      <c r="O10" s="41" t="n">
        <f aca="false">IF(O6=1,INDEX(Supuestos!$C$22:$N$22,1,O7)*INDEX(Supuestos!$C$11:$E$11,1,$B$2),IF(O6=2,INDEX(Supuestos!$C$11:$E$11,1,$B$2),IF(O6=3,INDEX(Supuestos!$C$12:$E$12,1,$B$2),IF(O6=4,INDEX(Supuestos!$C$13:$E$13,1,$B$2),INDEX(Supuestos!$C$14:$E$14,1,$B$2))))+(IF(O6=2,INDEX(Supuestos!$C$12:$E$12,1,$B$2),IF(O6=3,INDEX(Supuestos!$C$13:$E$13,1,$B$2),IF(O6=4,INDEX(Supuestos!$C$14:$E$14,1,$B$2),INDEX(Supuestos!$C$15:$E$15,1,$B$2))))-IF(O6=2,INDEX(Supuestos!$C$11:$E$11,1,$B$2),IF(O6=3,INDEX(Supuestos!$C$12:$E$12,1,$B$2),IF(O6=4,INDEX(Supuestos!$C$13:$E$13,1,$B$2),INDEX(Supuestos!$C$14:$E$14,1,$B$2)))))*O7/12)</f>
        <v>67.5</v>
      </c>
      <c r="P10" s="41" t="n">
        <f aca="false">IF(P6=1,INDEX(Supuestos!$C$22:$N$22,1,P7)*INDEX(Supuestos!$C$11:$E$11,1,$B$2),IF(P6=2,INDEX(Supuestos!$C$11:$E$11,1,$B$2),IF(P6=3,INDEX(Supuestos!$C$12:$E$12,1,$B$2),IF(P6=4,INDEX(Supuestos!$C$13:$E$13,1,$B$2),INDEX(Supuestos!$C$14:$E$14,1,$B$2))))+(IF(P6=2,INDEX(Supuestos!$C$12:$E$12,1,$B$2),IF(P6=3,INDEX(Supuestos!$C$13:$E$13,1,$B$2),IF(P6=4,INDEX(Supuestos!$C$14:$E$14,1,$B$2),INDEX(Supuestos!$C$15:$E$15,1,$B$2))))-IF(P6=2,INDEX(Supuestos!$C$11:$E$11,1,$B$2),IF(P6=3,INDEX(Supuestos!$C$12:$E$12,1,$B$2),IF(P6=4,INDEX(Supuestos!$C$13:$E$13,1,$B$2),INDEX(Supuestos!$C$14:$E$14,1,$B$2)))))*P7/12)</f>
        <v>75</v>
      </c>
      <c r="Q10" s="41" t="n">
        <f aca="false">IF(Q6=1,INDEX(Supuestos!$C$22:$N$22,1,Q7)*INDEX(Supuestos!$C$11:$E$11,1,$B$2),IF(Q6=2,INDEX(Supuestos!$C$11:$E$11,1,$B$2),IF(Q6=3,INDEX(Supuestos!$C$12:$E$12,1,$B$2),IF(Q6=4,INDEX(Supuestos!$C$13:$E$13,1,$B$2),INDEX(Supuestos!$C$14:$E$14,1,$B$2))))+(IF(Q6=2,INDEX(Supuestos!$C$12:$E$12,1,$B$2),IF(Q6=3,INDEX(Supuestos!$C$13:$E$13,1,$B$2),IF(Q6=4,INDEX(Supuestos!$C$14:$E$14,1,$B$2),INDEX(Supuestos!$C$15:$E$15,1,$B$2))))-IF(Q6=2,INDEX(Supuestos!$C$11:$E$11,1,$B$2),IF(Q6=3,INDEX(Supuestos!$C$12:$E$12,1,$B$2),IF(Q6=4,INDEX(Supuestos!$C$13:$E$13,1,$B$2),INDEX(Supuestos!$C$14:$E$14,1,$B$2)))))*Q7/12)</f>
        <v>82.5</v>
      </c>
      <c r="R10" s="41" t="n">
        <f aca="false">IF(R6=1,INDEX(Supuestos!$C$22:$N$22,1,R7)*INDEX(Supuestos!$C$11:$E$11,1,$B$2),IF(R6=2,INDEX(Supuestos!$C$11:$E$11,1,$B$2),IF(R6=3,INDEX(Supuestos!$C$12:$E$12,1,$B$2),IF(R6=4,INDEX(Supuestos!$C$13:$E$13,1,$B$2),INDEX(Supuestos!$C$14:$E$14,1,$B$2))))+(IF(R6=2,INDEX(Supuestos!$C$12:$E$12,1,$B$2),IF(R6=3,INDEX(Supuestos!$C$13:$E$13,1,$B$2),IF(R6=4,INDEX(Supuestos!$C$14:$E$14,1,$B$2),INDEX(Supuestos!$C$15:$E$15,1,$B$2))))-IF(R6=2,INDEX(Supuestos!$C$11:$E$11,1,$B$2),IF(R6=3,INDEX(Supuestos!$C$12:$E$12,1,$B$2),IF(R6=4,INDEX(Supuestos!$C$13:$E$13,1,$B$2),INDEX(Supuestos!$C$14:$E$14,1,$B$2)))))*R7/12)</f>
        <v>90</v>
      </c>
      <c r="S10" s="41" t="n">
        <f aca="false">IF(S6=1,INDEX(Supuestos!$C$22:$N$22,1,S7)*INDEX(Supuestos!$C$11:$E$11,1,$B$2),IF(S6=2,INDEX(Supuestos!$C$11:$E$11,1,$B$2),IF(S6=3,INDEX(Supuestos!$C$12:$E$12,1,$B$2),IF(S6=4,INDEX(Supuestos!$C$13:$E$13,1,$B$2),INDEX(Supuestos!$C$14:$E$14,1,$B$2))))+(IF(S6=2,INDEX(Supuestos!$C$12:$E$12,1,$B$2),IF(S6=3,INDEX(Supuestos!$C$13:$E$13,1,$B$2),IF(S6=4,INDEX(Supuestos!$C$14:$E$14,1,$B$2),INDEX(Supuestos!$C$15:$E$15,1,$B$2))))-IF(S6=2,INDEX(Supuestos!$C$11:$E$11,1,$B$2),IF(S6=3,INDEX(Supuestos!$C$12:$E$12,1,$B$2),IF(S6=4,INDEX(Supuestos!$C$13:$E$13,1,$B$2),INDEX(Supuestos!$C$14:$E$14,1,$B$2)))))*S7/12)</f>
        <v>97.5</v>
      </c>
      <c r="T10" s="41" t="n">
        <f aca="false">IF(T6=1,INDEX(Supuestos!$C$22:$N$22,1,T7)*INDEX(Supuestos!$C$11:$E$11,1,$B$2),IF(T6=2,INDEX(Supuestos!$C$11:$E$11,1,$B$2),IF(T6=3,INDEX(Supuestos!$C$12:$E$12,1,$B$2),IF(T6=4,INDEX(Supuestos!$C$13:$E$13,1,$B$2),INDEX(Supuestos!$C$14:$E$14,1,$B$2))))+(IF(T6=2,INDEX(Supuestos!$C$12:$E$12,1,$B$2),IF(T6=3,INDEX(Supuestos!$C$13:$E$13,1,$B$2),IF(T6=4,INDEX(Supuestos!$C$14:$E$14,1,$B$2),INDEX(Supuestos!$C$15:$E$15,1,$B$2))))-IF(T6=2,INDEX(Supuestos!$C$11:$E$11,1,$B$2),IF(T6=3,INDEX(Supuestos!$C$12:$E$12,1,$B$2),IF(T6=4,INDEX(Supuestos!$C$13:$E$13,1,$B$2),INDEX(Supuestos!$C$14:$E$14,1,$B$2)))))*T7/12)</f>
        <v>105</v>
      </c>
      <c r="U10" s="41" t="n">
        <f aca="false">IF(U6=1,INDEX(Supuestos!$C$22:$N$22,1,U7)*INDEX(Supuestos!$C$11:$E$11,1,$B$2),IF(U6=2,INDEX(Supuestos!$C$11:$E$11,1,$B$2),IF(U6=3,INDEX(Supuestos!$C$12:$E$12,1,$B$2),IF(U6=4,INDEX(Supuestos!$C$13:$E$13,1,$B$2),INDEX(Supuestos!$C$14:$E$14,1,$B$2))))+(IF(U6=2,INDEX(Supuestos!$C$12:$E$12,1,$B$2),IF(U6=3,INDEX(Supuestos!$C$13:$E$13,1,$B$2),IF(U6=4,INDEX(Supuestos!$C$14:$E$14,1,$B$2),INDEX(Supuestos!$C$15:$E$15,1,$B$2))))-IF(U6=2,INDEX(Supuestos!$C$11:$E$11,1,$B$2),IF(U6=3,INDEX(Supuestos!$C$12:$E$12,1,$B$2),IF(U6=4,INDEX(Supuestos!$C$13:$E$13,1,$B$2),INDEX(Supuestos!$C$14:$E$14,1,$B$2)))))*U7/12)</f>
        <v>112.5</v>
      </c>
      <c r="V10" s="41" t="n">
        <f aca="false">IF(V6=1,INDEX(Supuestos!$C$22:$N$22,1,V7)*INDEX(Supuestos!$C$11:$E$11,1,$B$2),IF(V6=2,INDEX(Supuestos!$C$11:$E$11,1,$B$2),IF(V6=3,INDEX(Supuestos!$C$12:$E$12,1,$B$2),IF(V6=4,INDEX(Supuestos!$C$13:$E$13,1,$B$2),INDEX(Supuestos!$C$14:$E$14,1,$B$2))))+(IF(V6=2,INDEX(Supuestos!$C$12:$E$12,1,$B$2),IF(V6=3,INDEX(Supuestos!$C$13:$E$13,1,$B$2),IF(V6=4,INDEX(Supuestos!$C$14:$E$14,1,$B$2),INDEX(Supuestos!$C$15:$E$15,1,$B$2))))-IF(V6=2,INDEX(Supuestos!$C$11:$E$11,1,$B$2),IF(V6=3,INDEX(Supuestos!$C$12:$E$12,1,$B$2),IF(V6=4,INDEX(Supuestos!$C$13:$E$13,1,$B$2),INDEX(Supuestos!$C$14:$E$14,1,$B$2)))))*V7/12)</f>
        <v>120</v>
      </c>
      <c r="W10" s="41" t="n">
        <f aca="false">IF(W6=1,INDEX(Supuestos!$C$22:$N$22,1,W7)*INDEX(Supuestos!$C$11:$E$11,1,$B$2),IF(W6=2,INDEX(Supuestos!$C$11:$E$11,1,$B$2),IF(W6=3,INDEX(Supuestos!$C$12:$E$12,1,$B$2),IF(W6=4,INDEX(Supuestos!$C$13:$E$13,1,$B$2),INDEX(Supuestos!$C$14:$E$14,1,$B$2))))+(IF(W6=2,INDEX(Supuestos!$C$12:$E$12,1,$B$2),IF(W6=3,INDEX(Supuestos!$C$13:$E$13,1,$B$2),IF(W6=4,INDEX(Supuestos!$C$14:$E$14,1,$B$2),INDEX(Supuestos!$C$15:$E$15,1,$B$2))))-IF(W6=2,INDEX(Supuestos!$C$11:$E$11,1,$B$2),IF(W6=3,INDEX(Supuestos!$C$12:$E$12,1,$B$2),IF(W6=4,INDEX(Supuestos!$C$13:$E$13,1,$B$2),INDEX(Supuestos!$C$14:$E$14,1,$B$2)))))*W7/12)</f>
        <v>127.5</v>
      </c>
      <c r="X10" s="41" t="n">
        <f aca="false">IF(X6=1,INDEX(Supuestos!$C$22:$N$22,1,X7)*INDEX(Supuestos!$C$11:$E$11,1,$B$2),IF(X6=2,INDEX(Supuestos!$C$11:$E$11,1,$B$2),IF(X6=3,INDEX(Supuestos!$C$12:$E$12,1,$B$2),IF(X6=4,INDEX(Supuestos!$C$13:$E$13,1,$B$2),INDEX(Supuestos!$C$14:$E$14,1,$B$2))))+(IF(X6=2,INDEX(Supuestos!$C$12:$E$12,1,$B$2),IF(X6=3,INDEX(Supuestos!$C$13:$E$13,1,$B$2),IF(X6=4,INDEX(Supuestos!$C$14:$E$14,1,$B$2),INDEX(Supuestos!$C$15:$E$15,1,$B$2))))-IF(X6=2,INDEX(Supuestos!$C$11:$E$11,1,$B$2),IF(X6=3,INDEX(Supuestos!$C$12:$E$12,1,$B$2),IF(X6=4,INDEX(Supuestos!$C$13:$E$13,1,$B$2),INDEX(Supuestos!$C$14:$E$14,1,$B$2)))))*X7/12)</f>
        <v>135</v>
      </c>
      <c r="Y10" s="41" t="n">
        <f aca="false">IF(Y6=1,INDEX(Supuestos!$C$22:$N$22,1,Y7)*INDEX(Supuestos!$C$11:$E$11,1,$B$2),IF(Y6=2,INDEX(Supuestos!$C$11:$E$11,1,$B$2),IF(Y6=3,INDEX(Supuestos!$C$12:$E$12,1,$B$2),IF(Y6=4,INDEX(Supuestos!$C$13:$E$13,1,$B$2),INDEX(Supuestos!$C$14:$E$14,1,$B$2))))+(IF(Y6=2,INDEX(Supuestos!$C$12:$E$12,1,$B$2),IF(Y6=3,INDEX(Supuestos!$C$13:$E$13,1,$B$2),IF(Y6=4,INDEX(Supuestos!$C$14:$E$14,1,$B$2),INDEX(Supuestos!$C$15:$E$15,1,$B$2))))-IF(Y6=2,INDEX(Supuestos!$C$11:$E$11,1,$B$2),IF(Y6=3,INDEX(Supuestos!$C$12:$E$12,1,$B$2),IF(Y6=4,INDEX(Supuestos!$C$13:$E$13,1,$B$2),INDEX(Supuestos!$C$14:$E$14,1,$B$2)))))*Y7/12)</f>
        <v>142.5</v>
      </c>
      <c r="Z10" s="41" t="n">
        <f aca="false">IF(Z6=1,INDEX(Supuestos!$C$22:$N$22,1,Z7)*INDEX(Supuestos!$C$11:$E$11,1,$B$2),IF(Z6=2,INDEX(Supuestos!$C$11:$E$11,1,$B$2),IF(Z6=3,INDEX(Supuestos!$C$12:$E$12,1,$B$2),IF(Z6=4,INDEX(Supuestos!$C$13:$E$13,1,$B$2),INDEX(Supuestos!$C$14:$E$14,1,$B$2))))+(IF(Z6=2,INDEX(Supuestos!$C$12:$E$12,1,$B$2),IF(Z6=3,INDEX(Supuestos!$C$13:$E$13,1,$B$2),IF(Z6=4,INDEX(Supuestos!$C$14:$E$14,1,$B$2),INDEX(Supuestos!$C$15:$E$15,1,$B$2))))-IF(Z6=2,INDEX(Supuestos!$C$11:$E$11,1,$B$2),IF(Z6=3,INDEX(Supuestos!$C$12:$E$12,1,$B$2),IF(Z6=4,INDEX(Supuestos!$C$13:$E$13,1,$B$2),INDEX(Supuestos!$C$14:$E$14,1,$B$2)))))*Z7/12)</f>
        <v>150</v>
      </c>
      <c r="AA10" s="41" t="n">
        <f aca="false">IF(AA6=1,INDEX(Supuestos!$C$22:$N$22,1,AA7)*INDEX(Supuestos!$C$11:$E$11,1,$B$2),IF(AA6=2,INDEX(Supuestos!$C$11:$E$11,1,$B$2),IF(AA6=3,INDEX(Supuestos!$C$12:$E$12,1,$B$2),IF(AA6=4,INDEX(Supuestos!$C$13:$E$13,1,$B$2),INDEX(Supuestos!$C$14:$E$14,1,$B$2))))+(IF(AA6=2,INDEX(Supuestos!$C$12:$E$12,1,$B$2),IF(AA6=3,INDEX(Supuestos!$C$13:$E$13,1,$B$2),IF(AA6=4,INDEX(Supuestos!$C$14:$E$14,1,$B$2),INDEX(Supuestos!$C$15:$E$15,1,$B$2))))-IF(AA6=2,INDEX(Supuestos!$C$11:$E$11,1,$B$2),IF(AA6=3,INDEX(Supuestos!$C$12:$E$12,1,$B$2),IF(AA6=4,INDEX(Supuestos!$C$13:$E$13,1,$B$2),INDEX(Supuestos!$C$14:$E$14,1,$B$2)))))*AA7/12)</f>
        <v>162.5</v>
      </c>
      <c r="AB10" s="41" t="n">
        <f aca="false">IF(AB6=1,INDEX(Supuestos!$C$22:$N$22,1,AB7)*INDEX(Supuestos!$C$11:$E$11,1,$B$2),IF(AB6=2,INDEX(Supuestos!$C$11:$E$11,1,$B$2),IF(AB6=3,INDEX(Supuestos!$C$12:$E$12,1,$B$2),IF(AB6=4,INDEX(Supuestos!$C$13:$E$13,1,$B$2),INDEX(Supuestos!$C$14:$E$14,1,$B$2))))+(IF(AB6=2,INDEX(Supuestos!$C$12:$E$12,1,$B$2),IF(AB6=3,INDEX(Supuestos!$C$13:$E$13,1,$B$2),IF(AB6=4,INDEX(Supuestos!$C$14:$E$14,1,$B$2),INDEX(Supuestos!$C$15:$E$15,1,$B$2))))-IF(AB6=2,INDEX(Supuestos!$C$11:$E$11,1,$B$2),IF(AB6=3,INDEX(Supuestos!$C$12:$E$12,1,$B$2),IF(AB6=4,INDEX(Supuestos!$C$13:$E$13,1,$B$2),INDEX(Supuestos!$C$14:$E$14,1,$B$2)))))*AB7/12)</f>
        <v>175</v>
      </c>
      <c r="AC10" s="41" t="n">
        <f aca="false">IF(AC6=1,INDEX(Supuestos!$C$22:$N$22,1,AC7)*INDEX(Supuestos!$C$11:$E$11,1,$B$2),IF(AC6=2,INDEX(Supuestos!$C$11:$E$11,1,$B$2),IF(AC6=3,INDEX(Supuestos!$C$12:$E$12,1,$B$2),IF(AC6=4,INDEX(Supuestos!$C$13:$E$13,1,$B$2),INDEX(Supuestos!$C$14:$E$14,1,$B$2))))+(IF(AC6=2,INDEX(Supuestos!$C$12:$E$12,1,$B$2),IF(AC6=3,INDEX(Supuestos!$C$13:$E$13,1,$B$2),IF(AC6=4,INDEX(Supuestos!$C$14:$E$14,1,$B$2),INDEX(Supuestos!$C$15:$E$15,1,$B$2))))-IF(AC6=2,INDEX(Supuestos!$C$11:$E$11,1,$B$2),IF(AC6=3,INDEX(Supuestos!$C$12:$E$12,1,$B$2),IF(AC6=4,INDEX(Supuestos!$C$13:$E$13,1,$B$2),INDEX(Supuestos!$C$14:$E$14,1,$B$2)))))*AC7/12)</f>
        <v>187.5</v>
      </c>
      <c r="AD10" s="41" t="n">
        <f aca="false">IF(AD6=1,INDEX(Supuestos!$C$22:$N$22,1,AD7)*INDEX(Supuestos!$C$11:$E$11,1,$B$2),IF(AD6=2,INDEX(Supuestos!$C$11:$E$11,1,$B$2),IF(AD6=3,INDEX(Supuestos!$C$12:$E$12,1,$B$2),IF(AD6=4,INDEX(Supuestos!$C$13:$E$13,1,$B$2),INDEX(Supuestos!$C$14:$E$14,1,$B$2))))+(IF(AD6=2,INDEX(Supuestos!$C$12:$E$12,1,$B$2),IF(AD6=3,INDEX(Supuestos!$C$13:$E$13,1,$B$2),IF(AD6=4,INDEX(Supuestos!$C$14:$E$14,1,$B$2),INDEX(Supuestos!$C$15:$E$15,1,$B$2))))-IF(AD6=2,INDEX(Supuestos!$C$11:$E$11,1,$B$2),IF(AD6=3,INDEX(Supuestos!$C$12:$E$12,1,$B$2),IF(AD6=4,INDEX(Supuestos!$C$13:$E$13,1,$B$2),INDEX(Supuestos!$C$14:$E$14,1,$B$2)))))*AD7/12)</f>
        <v>200</v>
      </c>
      <c r="AE10" s="41" t="n">
        <f aca="false">IF(AE6=1,INDEX(Supuestos!$C$22:$N$22,1,AE7)*INDEX(Supuestos!$C$11:$E$11,1,$B$2),IF(AE6=2,INDEX(Supuestos!$C$11:$E$11,1,$B$2),IF(AE6=3,INDEX(Supuestos!$C$12:$E$12,1,$B$2),IF(AE6=4,INDEX(Supuestos!$C$13:$E$13,1,$B$2),INDEX(Supuestos!$C$14:$E$14,1,$B$2))))+(IF(AE6=2,INDEX(Supuestos!$C$12:$E$12,1,$B$2),IF(AE6=3,INDEX(Supuestos!$C$13:$E$13,1,$B$2),IF(AE6=4,INDEX(Supuestos!$C$14:$E$14,1,$B$2),INDEX(Supuestos!$C$15:$E$15,1,$B$2))))-IF(AE6=2,INDEX(Supuestos!$C$11:$E$11,1,$B$2),IF(AE6=3,INDEX(Supuestos!$C$12:$E$12,1,$B$2),IF(AE6=4,INDEX(Supuestos!$C$13:$E$13,1,$B$2),INDEX(Supuestos!$C$14:$E$14,1,$B$2)))))*AE7/12)</f>
        <v>212.5</v>
      </c>
      <c r="AF10" s="41" t="n">
        <f aca="false">IF(AF6=1,INDEX(Supuestos!$C$22:$N$22,1,AF7)*INDEX(Supuestos!$C$11:$E$11,1,$B$2),IF(AF6=2,INDEX(Supuestos!$C$11:$E$11,1,$B$2),IF(AF6=3,INDEX(Supuestos!$C$12:$E$12,1,$B$2),IF(AF6=4,INDEX(Supuestos!$C$13:$E$13,1,$B$2),INDEX(Supuestos!$C$14:$E$14,1,$B$2))))+(IF(AF6=2,INDEX(Supuestos!$C$12:$E$12,1,$B$2),IF(AF6=3,INDEX(Supuestos!$C$13:$E$13,1,$B$2),IF(AF6=4,INDEX(Supuestos!$C$14:$E$14,1,$B$2),INDEX(Supuestos!$C$15:$E$15,1,$B$2))))-IF(AF6=2,INDEX(Supuestos!$C$11:$E$11,1,$B$2),IF(AF6=3,INDEX(Supuestos!$C$12:$E$12,1,$B$2),IF(AF6=4,INDEX(Supuestos!$C$13:$E$13,1,$B$2),INDEX(Supuestos!$C$14:$E$14,1,$B$2)))))*AF7/12)</f>
        <v>225</v>
      </c>
      <c r="AG10" s="41" t="n">
        <f aca="false">IF(AG6=1,INDEX(Supuestos!$C$22:$N$22,1,AG7)*INDEX(Supuestos!$C$11:$E$11,1,$B$2),IF(AG6=2,INDEX(Supuestos!$C$11:$E$11,1,$B$2),IF(AG6=3,INDEX(Supuestos!$C$12:$E$12,1,$B$2),IF(AG6=4,INDEX(Supuestos!$C$13:$E$13,1,$B$2),INDEX(Supuestos!$C$14:$E$14,1,$B$2))))+(IF(AG6=2,INDEX(Supuestos!$C$12:$E$12,1,$B$2),IF(AG6=3,INDEX(Supuestos!$C$13:$E$13,1,$B$2),IF(AG6=4,INDEX(Supuestos!$C$14:$E$14,1,$B$2),INDEX(Supuestos!$C$15:$E$15,1,$B$2))))-IF(AG6=2,INDEX(Supuestos!$C$11:$E$11,1,$B$2),IF(AG6=3,INDEX(Supuestos!$C$12:$E$12,1,$B$2),IF(AG6=4,INDEX(Supuestos!$C$13:$E$13,1,$B$2),INDEX(Supuestos!$C$14:$E$14,1,$B$2)))))*AG7/12)</f>
        <v>237.5</v>
      </c>
      <c r="AH10" s="41" t="n">
        <f aca="false">IF(AH6=1,INDEX(Supuestos!$C$22:$N$22,1,AH7)*INDEX(Supuestos!$C$11:$E$11,1,$B$2),IF(AH6=2,INDEX(Supuestos!$C$11:$E$11,1,$B$2),IF(AH6=3,INDEX(Supuestos!$C$12:$E$12,1,$B$2),IF(AH6=4,INDEX(Supuestos!$C$13:$E$13,1,$B$2),INDEX(Supuestos!$C$14:$E$14,1,$B$2))))+(IF(AH6=2,INDEX(Supuestos!$C$12:$E$12,1,$B$2),IF(AH6=3,INDEX(Supuestos!$C$13:$E$13,1,$B$2),IF(AH6=4,INDEX(Supuestos!$C$14:$E$14,1,$B$2),INDEX(Supuestos!$C$15:$E$15,1,$B$2))))-IF(AH6=2,INDEX(Supuestos!$C$11:$E$11,1,$B$2),IF(AH6=3,INDEX(Supuestos!$C$12:$E$12,1,$B$2),IF(AH6=4,INDEX(Supuestos!$C$13:$E$13,1,$B$2),INDEX(Supuestos!$C$14:$E$14,1,$B$2)))))*AH7/12)</f>
        <v>250</v>
      </c>
      <c r="AI10" s="41" t="n">
        <f aca="false">IF(AI6=1,INDEX(Supuestos!$C$22:$N$22,1,AI7)*INDEX(Supuestos!$C$11:$E$11,1,$B$2),IF(AI6=2,INDEX(Supuestos!$C$11:$E$11,1,$B$2),IF(AI6=3,INDEX(Supuestos!$C$12:$E$12,1,$B$2),IF(AI6=4,INDEX(Supuestos!$C$13:$E$13,1,$B$2),INDEX(Supuestos!$C$14:$E$14,1,$B$2))))+(IF(AI6=2,INDEX(Supuestos!$C$12:$E$12,1,$B$2),IF(AI6=3,INDEX(Supuestos!$C$13:$E$13,1,$B$2),IF(AI6=4,INDEX(Supuestos!$C$14:$E$14,1,$B$2),INDEX(Supuestos!$C$15:$E$15,1,$B$2))))-IF(AI6=2,INDEX(Supuestos!$C$11:$E$11,1,$B$2),IF(AI6=3,INDEX(Supuestos!$C$12:$E$12,1,$B$2),IF(AI6=4,INDEX(Supuestos!$C$13:$E$13,1,$B$2),INDEX(Supuestos!$C$14:$E$14,1,$B$2)))))*AI7/12)</f>
        <v>262.5</v>
      </c>
      <c r="AJ10" s="41" t="n">
        <f aca="false">IF(AJ6=1,INDEX(Supuestos!$C$22:$N$22,1,AJ7)*INDEX(Supuestos!$C$11:$E$11,1,$B$2),IF(AJ6=2,INDEX(Supuestos!$C$11:$E$11,1,$B$2),IF(AJ6=3,INDEX(Supuestos!$C$12:$E$12,1,$B$2),IF(AJ6=4,INDEX(Supuestos!$C$13:$E$13,1,$B$2),INDEX(Supuestos!$C$14:$E$14,1,$B$2))))+(IF(AJ6=2,INDEX(Supuestos!$C$12:$E$12,1,$B$2),IF(AJ6=3,INDEX(Supuestos!$C$13:$E$13,1,$B$2),IF(AJ6=4,INDEX(Supuestos!$C$14:$E$14,1,$B$2),INDEX(Supuestos!$C$15:$E$15,1,$B$2))))-IF(AJ6=2,INDEX(Supuestos!$C$11:$E$11,1,$B$2),IF(AJ6=3,INDEX(Supuestos!$C$12:$E$12,1,$B$2),IF(AJ6=4,INDEX(Supuestos!$C$13:$E$13,1,$B$2),INDEX(Supuestos!$C$14:$E$14,1,$B$2)))))*AJ7/12)</f>
        <v>275</v>
      </c>
      <c r="AK10" s="41" t="n">
        <f aca="false">IF(AK6=1,INDEX(Supuestos!$C$22:$N$22,1,AK7)*INDEX(Supuestos!$C$11:$E$11,1,$B$2),IF(AK6=2,INDEX(Supuestos!$C$11:$E$11,1,$B$2),IF(AK6=3,INDEX(Supuestos!$C$12:$E$12,1,$B$2),IF(AK6=4,INDEX(Supuestos!$C$13:$E$13,1,$B$2),INDEX(Supuestos!$C$14:$E$14,1,$B$2))))+(IF(AK6=2,INDEX(Supuestos!$C$12:$E$12,1,$B$2),IF(AK6=3,INDEX(Supuestos!$C$13:$E$13,1,$B$2),IF(AK6=4,INDEX(Supuestos!$C$14:$E$14,1,$B$2),INDEX(Supuestos!$C$15:$E$15,1,$B$2))))-IF(AK6=2,INDEX(Supuestos!$C$11:$E$11,1,$B$2),IF(AK6=3,INDEX(Supuestos!$C$12:$E$12,1,$B$2),IF(AK6=4,INDEX(Supuestos!$C$13:$E$13,1,$B$2),INDEX(Supuestos!$C$14:$E$14,1,$B$2)))))*AK7/12)</f>
        <v>287.5</v>
      </c>
      <c r="AL10" s="41" t="n">
        <f aca="false">IF(AL6=1,INDEX(Supuestos!$C$22:$N$22,1,AL7)*INDEX(Supuestos!$C$11:$E$11,1,$B$2),IF(AL6=2,INDEX(Supuestos!$C$11:$E$11,1,$B$2),IF(AL6=3,INDEX(Supuestos!$C$12:$E$12,1,$B$2),IF(AL6=4,INDEX(Supuestos!$C$13:$E$13,1,$B$2),INDEX(Supuestos!$C$14:$E$14,1,$B$2))))+(IF(AL6=2,INDEX(Supuestos!$C$12:$E$12,1,$B$2),IF(AL6=3,INDEX(Supuestos!$C$13:$E$13,1,$B$2),IF(AL6=4,INDEX(Supuestos!$C$14:$E$14,1,$B$2),INDEX(Supuestos!$C$15:$E$15,1,$B$2))))-IF(AL6=2,INDEX(Supuestos!$C$11:$E$11,1,$B$2),IF(AL6=3,INDEX(Supuestos!$C$12:$E$12,1,$B$2),IF(AL6=4,INDEX(Supuestos!$C$13:$E$13,1,$B$2),INDEX(Supuestos!$C$14:$E$14,1,$B$2)))))*AL7/12)</f>
        <v>300</v>
      </c>
      <c r="AM10" s="41" t="n">
        <f aca="false">IF(AM6=1,INDEX(Supuestos!$C$22:$N$22,1,AM7)*INDEX(Supuestos!$C$11:$E$11,1,$B$2),IF(AM6=2,INDEX(Supuestos!$C$11:$E$11,1,$B$2),IF(AM6=3,INDEX(Supuestos!$C$12:$E$12,1,$B$2),IF(AM6=4,INDEX(Supuestos!$C$13:$E$13,1,$B$2),INDEX(Supuestos!$C$14:$E$14,1,$B$2))))+(IF(AM6=2,INDEX(Supuestos!$C$12:$E$12,1,$B$2),IF(AM6=3,INDEX(Supuestos!$C$13:$E$13,1,$B$2),IF(AM6=4,INDEX(Supuestos!$C$14:$E$14,1,$B$2),INDEX(Supuestos!$C$15:$E$15,1,$B$2))))-IF(AM6=2,INDEX(Supuestos!$C$11:$E$11,1,$B$2),IF(AM6=3,INDEX(Supuestos!$C$12:$E$12,1,$B$2),IF(AM6=4,INDEX(Supuestos!$C$13:$E$13,1,$B$2),INDEX(Supuestos!$C$14:$E$14,1,$B$2)))))*AM7/12)</f>
        <v>312.5</v>
      </c>
      <c r="AN10" s="41" t="n">
        <f aca="false">IF(AN6=1,INDEX(Supuestos!$C$22:$N$22,1,AN7)*INDEX(Supuestos!$C$11:$E$11,1,$B$2),IF(AN6=2,INDEX(Supuestos!$C$11:$E$11,1,$B$2),IF(AN6=3,INDEX(Supuestos!$C$12:$E$12,1,$B$2),IF(AN6=4,INDEX(Supuestos!$C$13:$E$13,1,$B$2),INDEX(Supuestos!$C$14:$E$14,1,$B$2))))+(IF(AN6=2,INDEX(Supuestos!$C$12:$E$12,1,$B$2),IF(AN6=3,INDEX(Supuestos!$C$13:$E$13,1,$B$2),IF(AN6=4,INDEX(Supuestos!$C$14:$E$14,1,$B$2),INDEX(Supuestos!$C$15:$E$15,1,$B$2))))-IF(AN6=2,INDEX(Supuestos!$C$11:$E$11,1,$B$2),IF(AN6=3,INDEX(Supuestos!$C$12:$E$12,1,$B$2),IF(AN6=4,INDEX(Supuestos!$C$13:$E$13,1,$B$2),INDEX(Supuestos!$C$14:$E$14,1,$B$2)))))*AN7/12)</f>
        <v>325</v>
      </c>
      <c r="AO10" s="41" t="n">
        <f aca="false">IF(AO6=1,INDEX(Supuestos!$C$22:$N$22,1,AO7)*INDEX(Supuestos!$C$11:$E$11,1,$B$2),IF(AO6=2,INDEX(Supuestos!$C$11:$E$11,1,$B$2),IF(AO6=3,INDEX(Supuestos!$C$12:$E$12,1,$B$2),IF(AO6=4,INDEX(Supuestos!$C$13:$E$13,1,$B$2),INDEX(Supuestos!$C$14:$E$14,1,$B$2))))+(IF(AO6=2,INDEX(Supuestos!$C$12:$E$12,1,$B$2),IF(AO6=3,INDEX(Supuestos!$C$13:$E$13,1,$B$2),IF(AO6=4,INDEX(Supuestos!$C$14:$E$14,1,$B$2),INDEX(Supuestos!$C$15:$E$15,1,$B$2))))-IF(AO6=2,INDEX(Supuestos!$C$11:$E$11,1,$B$2),IF(AO6=3,INDEX(Supuestos!$C$12:$E$12,1,$B$2),IF(AO6=4,INDEX(Supuestos!$C$13:$E$13,1,$B$2),INDEX(Supuestos!$C$14:$E$14,1,$B$2)))))*AO7/12)</f>
        <v>337.5</v>
      </c>
      <c r="AP10" s="41" t="n">
        <f aca="false">IF(AP6=1,INDEX(Supuestos!$C$22:$N$22,1,AP7)*INDEX(Supuestos!$C$11:$E$11,1,$B$2),IF(AP6=2,INDEX(Supuestos!$C$11:$E$11,1,$B$2),IF(AP6=3,INDEX(Supuestos!$C$12:$E$12,1,$B$2),IF(AP6=4,INDEX(Supuestos!$C$13:$E$13,1,$B$2),INDEX(Supuestos!$C$14:$E$14,1,$B$2))))+(IF(AP6=2,INDEX(Supuestos!$C$12:$E$12,1,$B$2),IF(AP6=3,INDEX(Supuestos!$C$13:$E$13,1,$B$2),IF(AP6=4,INDEX(Supuestos!$C$14:$E$14,1,$B$2),INDEX(Supuestos!$C$15:$E$15,1,$B$2))))-IF(AP6=2,INDEX(Supuestos!$C$11:$E$11,1,$B$2),IF(AP6=3,INDEX(Supuestos!$C$12:$E$12,1,$B$2),IF(AP6=4,INDEX(Supuestos!$C$13:$E$13,1,$B$2),INDEX(Supuestos!$C$14:$E$14,1,$B$2)))))*AP7/12)</f>
        <v>350</v>
      </c>
      <c r="AQ10" s="41" t="n">
        <f aca="false">IF(AQ6=1,INDEX(Supuestos!$C$22:$N$22,1,AQ7)*INDEX(Supuestos!$C$11:$E$11,1,$B$2),IF(AQ6=2,INDEX(Supuestos!$C$11:$E$11,1,$B$2),IF(AQ6=3,INDEX(Supuestos!$C$12:$E$12,1,$B$2),IF(AQ6=4,INDEX(Supuestos!$C$13:$E$13,1,$B$2),INDEX(Supuestos!$C$14:$E$14,1,$B$2))))+(IF(AQ6=2,INDEX(Supuestos!$C$12:$E$12,1,$B$2),IF(AQ6=3,INDEX(Supuestos!$C$13:$E$13,1,$B$2),IF(AQ6=4,INDEX(Supuestos!$C$14:$E$14,1,$B$2),INDEX(Supuestos!$C$15:$E$15,1,$B$2))))-IF(AQ6=2,INDEX(Supuestos!$C$11:$E$11,1,$B$2),IF(AQ6=3,INDEX(Supuestos!$C$12:$E$12,1,$B$2),IF(AQ6=4,INDEX(Supuestos!$C$13:$E$13,1,$B$2),INDEX(Supuestos!$C$14:$E$14,1,$B$2)))))*AQ7/12)</f>
        <v>362.5</v>
      </c>
      <c r="AR10" s="41" t="n">
        <f aca="false">IF(AR6=1,INDEX(Supuestos!$C$22:$N$22,1,AR7)*INDEX(Supuestos!$C$11:$E$11,1,$B$2),IF(AR6=2,INDEX(Supuestos!$C$11:$E$11,1,$B$2),IF(AR6=3,INDEX(Supuestos!$C$12:$E$12,1,$B$2),IF(AR6=4,INDEX(Supuestos!$C$13:$E$13,1,$B$2),INDEX(Supuestos!$C$14:$E$14,1,$B$2))))+(IF(AR6=2,INDEX(Supuestos!$C$12:$E$12,1,$B$2),IF(AR6=3,INDEX(Supuestos!$C$13:$E$13,1,$B$2),IF(AR6=4,INDEX(Supuestos!$C$14:$E$14,1,$B$2),INDEX(Supuestos!$C$15:$E$15,1,$B$2))))-IF(AR6=2,INDEX(Supuestos!$C$11:$E$11,1,$B$2),IF(AR6=3,INDEX(Supuestos!$C$12:$E$12,1,$B$2),IF(AR6=4,INDEX(Supuestos!$C$13:$E$13,1,$B$2),INDEX(Supuestos!$C$14:$E$14,1,$B$2)))))*AR7/12)</f>
        <v>375</v>
      </c>
      <c r="AS10" s="41" t="n">
        <f aca="false">IF(AS6=1,INDEX(Supuestos!$C$22:$N$22,1,AS7)*INDEX(Supuestos!$C$11:$E$11,1,$B$2),IF(AS6=2,INDEX(Supuestos!$C$11:$E$11,1,$B$2),IF(AS6=3,INDEX(Supuestos!$C$12:$E$12,1,$B$2),IF(AS6=4,INDEX(Supuestos!$C$13:$E$13,1,$B$2),INDEX(Supuestos!$C$14:$E$14,1,$B$2))))+(IF(AS6=2,INDEX(Supuestos!$C$12:$E$12,1,$B$2),IF(AS6=3,INDEX(Supuestos!$C$13:$E$13,1,$B$2),IF(AS6=4,INDEX(Supuestos!$C$14:$E$14,1,$B$2),INDEX(Supuestos!$C$15:$E$15,1,$B$2))))-IF(AS6=2,INDEX(Supuestos!$C$11:$E$11,1,$B$2),IF(AS6=3,INDEX(Supuestos!$C$12:$E$12,1,$B$2),IF(AS6=4,INDEX(Supuestos!$C$13:$E$13,1,$B$2),INDEX(Supuestos!$C$14:$E$14,1,$B$2)))))*AS7/12)</f>
        <v>387.5</v>
      </c>
      <c r="AT10" s="41" t="n">
        <f aca="false">IF(AT6=1,INDEX(Supuestos!$C$22:$N$22,1,AT7)*INDEX(Supuestos!$C$11:$E$11,1,$B$2),IF(AT6=2,INDEX(Supuestos!$C$11:$E$11,1,$B$2),IF(AT6=3,INDEX(Supuestos!$C$12:$E$12,1,$B$2),IF(AT6=4,INDEX(Supuestos!$C$13:$E$13,1,$B$2),INDEX(Supuestos!$C$14:$E$14,1,$B$2))))+(IF(AT6=2,INDEX(Supuestos!$C$12:$E$12,1,$B$2),IF(AT6=3,INDEX(Supuestos!$C$13:$E$13,1,$B$2),IF(AT6=4,INDEX(Supuestos!$C$14:$E$14,1,$B$2),INDEX(Supuestos!$C$15:$E$15,1,$B$2))))-IF(AT6=2,INDEX(Supuestos!$C$11:$E$11,1,$B$2),IF(AT6=3,INDEX(Supuestos!$C$12:$E$12,1,$B$2),IF(AT6=4,INDEX(Supuestos!$C$13:$E$13,1,$B$2),INDEX(Supuestos!$C$14:$E$14,1,$B$2)))))*AT7/12)</f>
        <v>400</v>
      </c>
      <c r="AU10" s="41" t="n">
        <f aca="false">IF(AU6=1,INDEX(Supuestos!$C$22:$N$22,1,AU7)*INDEX(Supuestos!$C$11:$E$11,1,$B$2),IF(AU6=2,INDEX(Supuestos!$C$11:$E$11,1,$B$2),IF(AU6=3,INDEX(Supuestos!$C$12:$E$12,1,$B$2),IF(AU6=4,INDEX(Supuestos!$C$13:$E$13,1,$B$2),INDEX(Supuestos!$C$14:$E$14,1,$B$2))))+(IF(AU6=2,INDEX(Supuestos!$C$12:$E$12,1,$B$2),IF(AU6=3,INDEX(Supuestos!$C$13:$E$13,1,$B$2),IF(AU6=4,INDEX(Supuestos!$C$14:$E$14,1,$B$2),INDEX(Supuestos!$C$15:$E$15,1,$B$2))))-IF(AU6=2,INDEX(Supuestos!$C$11:$E$11,1,$B$2),IF(AU6=3,INDEX(Supuestos!$C$12:$E$12,1,$B$2),IF(AU6=4,INDEX(Supuestos!$C$13:$E$13,1,$B$2),INDEX(Supuestos!$C$14:$E$14,1,$B$2)))))*AU7/12)</f>
        <v>412.5</v>
      </c>
      <c r="AV10" s="41" t="n">
        <f aca="false">IF(AV6=1,INDEX(Supuestos!$C$22:$N$22,1,AV7)*INDEX(Supuestos!$C$11:$E$11,1,$B$2),IF(AV6=2,INDEX(Supuestos!$C$11:$E$11,1,$B$2),IF(AV6=3,INDEX(Supuestos!$C$12:$E$12,1,$B$2),IF(AV6=4,INDEX(Supuestos!$C$13:$E$13,1,$B$2),INDEX(Supuestos!$C$14:$E$14,1,$B$2))))+(IF(AV6=2,INDEX(Supuestos!$C$12:$E$12,1,$B$2),IF(AV6=3,INDEX(Supuestos!$C$13:$E$13,1,$B$2),IF(AV6=4,INDEX(Supuestos!$C$14:$E$14,1,$B$2),INDEX(Supuestos!$C$15:$E$15,1,$B$2))))-IF(AV6=2,INDEX(Supuestos!$C$11:$E$11,1,$B$2),IF(AV6=3,INDEX(Supuestos!$C$12:$E$12,1,$B$2),IF(AV6=4,INDEX(Supuestos!$C$13:$E$13,1,$B$2),INDEX(Supuestos!$C$14:$E$14,1,$B$2)))))*AV7/12)</f>
        <v>425</v>
      </c>
      <c r="AW10" s="41" t="n">
        <f aca="false">IF(AW6=1,INDEX(Supuestos!$C$22:$N$22,1,AW7)*INDEX(Supuestos!$C$11:$E$11,1,$B$2),IF(AW6=2,INDEX(Supuestos!$C$11:$E$11,1,$B$2),IF(AW6=3,INDEX(Supuestos!$C$12:$E$12,1,$B$2),IF(AW6=4,INDEX(Supuestos!$C$13:$E$13,1,$B$2),INDEX(Supuestos!$C$14:$E$14,1,$B$2))))+(IF(AW6=2,INDEX(Supuestos!$C$12:$E$12,1,$B$2),IF(AW6=3,INDEX(Supuestos!$C$13:$E$13,1,$B$2),IF(AW6=4,INDEX(Supuestos!$C$14:$E$14,1,$B$2),INDEX(Supuestos!$C$15:$E$15,1,$B$2))))-IF(AW6=2,INDEX(Supuestos!$C$11:$E$11,1,$B$2),IF(AW6=3,INDEX(Supuestos!$C$12:$E$12,1,$B$2),IF(AW6=4,INDEX(Supuestos!$C$13:$E$13,1,$B$2),INDEX(Supuestos!$C$14:$E$14,1,$B$2)))))*AW7/12)</f>
        <v>437.5</v>
      </c>
      <c r="AX10" s="41" t="n">
        <f aca="false">IF(AX6=1,INDEX(Supuestos!$C$22:$N$22,1,AX7)*INDEX(Supuestos!$C$11:$E$11,1,$B$2),IF(AX6=2,INDEX(Supuestos!$C$11:$E$11,1,$B$2),IF(AX6=3,INDEX(Supuestos!$C$12:$E$12,1,$B$2),IF(AX6=4,INDEX(Supuestos!$C$13:$E$13,1,$B$2),INDEX(Supuestos!$C$14:$E$14,1,$B$2))))+(IF(AX6=2,INDEX(Supuestos!$C$12:$E$12,1,$B$2),IF(AX6=3,INDEX(Supuestos!$C$13:$E$13,1,$B$2),IF(AX6=4,INDEX(Supuestos!$C$14:$E$14,1,$B$2),INDEX(Supuestos!$C$15:$E$15,1,$B$2))))-IF(AX6=2,INDEX(Supuestos!$C$11:$E$11,1,$B$2),IF(AX6=3,INDEX(Supuestos!$C$12:$E$12,1,$B$2),IF(AX6=4,INDEX(Supuestos!$C$13:$E$13,1,$B$2),INDEX(Supuestos!$C$14:$E$14,1,$B$2)))))*AX7/12)</f>
        <v>450</v>
      </c>
      <c r="AY10" s="41" t="n">
        <f aca="false">IF(AY6=1,INDEX(Supuestos!$C$22:$N$22,1,AY7)*INDEX(Supuestos!$C$11:$E$11,1,$B$2),IF(AY6=2,INDEX(Supuestos!$C$11:$E$11,1,$B$2),IF(AY6=3,INDEX(Supuestos!$C$12:$E$12,1,$B$2),IF(AY6=4,INDEX(Supuestos!$C$13:$E$13,1,$B$2),INDEX(Supuestos!$C$14:$E$14,1,$B$2))))+(IF(AY6=2,INDEX(Supuestos!$C$12:$E$12,1,$B$2),IF(AY6=3,INDEX(Supuestos!$C$13:$E$13,1,$B$2),IF(AY6=4,INDEX(Supuestos!$C$14:$E$14,1,$B$2),INDEX(Supuestos!$C$15:$E$15,1,$B$2))))-IF(AY6=2,INDEX(Supuestos!$C$11:$E$11,1,$B$2),IF(AY6=3,INDEX(Supuestos!$C$12:$E$12,1,$B$2),IF(AY6=4,INDEX(Supuestos!$C$13:$E$13,1,$B$2),INDEX(Supuestos!$C$14:$E$14,1,$B$2)))))*AY7/12)</f>
        <v>462.5</v>
      </c>
      <c r="AZ10" s="41" t="n">
        <f aca="false">IF(AZ6=1,INDEX(Supuestos!$C$22:$N$22,1,AZ7)*INDEX(Supuestos!$C$11:$E$11,1,$B$2),IF(AZ6=2,INDEX(Supuestos!$C$11:$E$11,1,$B$2),IF(AZ6=3,INDEX(Supuestos!$C$12:$E$12,1,$B$2),IF(AZ6=4,INDEX(Supuestos!$C$13:$E$13,1,$B$2),INDEX(Supuestos!$C$14:$E$14,1,$B$2))))+(IF(AZ6=2,INDEX(Supuestos!$C$12:$E$12,1,$B$2),IF(AZ6=3,INDEX(Supuestos!$C$13:$E$13,1,$B$2),IF(AZ6=4,INDEX(Supuestos!$C$14:$E$14,1,$B$2),INDEX(Supuestos!$C$15:$E$15,1,$B$2))))-IF(AZ6=2,INDEX(Supuestos!$C$11:$E$11,1,$B$2),IF(AZ6=3,INDEX(Supuestos!$C$12:$E$12,1,$B$2),IF(AZ6=4,INDEX(Supuestos!$C$13:$E$13,1,$B$2),INDEX(Supuestos!$C$14:$E$14,1,$B$2)))))*AZ7/12)</f>
        <v>475</v>
      </c>
      <c r="BA10" s="41" t="n">
        <f aca="false">IF(BA6=1,INDEX(Supuestos!$C$22:$N$22,1,BA7)*INDEX(Supuestos!$C$11:$E$11,1,$B$2),IF(BA6=2,INDEX(Supuestos!$C$11:$E$11,1,$B$2),IF(BA6=3,INDEX(Supuestos!$C$12:$E$12,1,$B$2),IF(BA6=4,INDEX(Supuestos!$C$13:$E$13,1,$B$2),INDEX(Supuestos!$C$14:$E$14,1,$B$2))))+(IF(BA6=2,INDEX(Supuestos!$C$12:$E$12,1,$B$2),IF(BA6=3,INDEX(Supuestos!$C$13:$E$13,1,$B$2),IF(BA6=4,INDEX(Supuestos!$C$14:$E$14,1,$B$2),INDEX(Supuestos!$C$15:$E$15,1,$B$2))))-IF(BA6=2,INDEX(Supuestos!$C$11:$E$11,1,$B$2),IF(BA6=3,INDEX(Supuestos!$C$12:$E$12,1,$B$2),IF(BA6=4,INDEX(Supuestos!$C$13:$E$13,1,$B$2),INDEX(Supuestos!$C$14:$E$14,1,$B$2)))))*BA7/12)</f>
        <v>487.5</v>
      </c>
      <c r="BB10" s="41" t="n">
        <f aca="false">IF(BB6=1,INDEX(Supuestos!$C$22:$N$22,1,BB7)*INDEX(Supuestos!$C$11:$E$11,1,$B$2),IF(BB6=2,INDEX(Supuestos!$C$11:$E$11,1,$B$2),IF(BB6=3,INDEX(Supuestos!$C$12:$E$12,1,$B$2),IF(BB6=4,INDEX(Supuestos!$C$13:$E$13,1,$B$2),INDEX(Supuestos!$C$14:$E$14,1,$B$2))))+(IF(BB6=2,INDEX(Supuestos!$C$12:$E$12,1,$B$2),IF(BB6=3,INDEX(Supuestos!$C$13:$E$13,1,$B$2),IF(BB6=4,INDEX(Supuestos!$C$14:$E$14,1,$B$2),INDEX(Supuestos!$C$15:$E$15,1,$B$2))))-IF(BB6=2,INDEX(Supuestos!$C$11:$E$11,1,$B$2),IF(BB6=3,INDEX(Supuestos!$C$12:$E$12,1,$B$2),IF(BB6=4,INDEX(Supuestos!$C$13:$E$13,1,$B$2),INDEX(Supuestos!$C$14:$E$14,1,$B$2)))))*BB7/12)</f>
        <v>500</v>
      </c>
      <c r="BC10" s="41" t="n">
        <f aca="false">IF(BC6=1,INDEX(Supuestos!$C$22:$N$22,1,BC7)*INDEX(Supuestos!$C$11:$E$11,1,$B$2),IF(BC6=2,INDEX(Supuestos!$C$11:$E$11,1,$B$2),IF(BC6=3,INDEX(Supuestos!$C$12:$E$12,1,$B$2),IF(BC6=4,INDEX(Supuestos!$C$13:$E$13,1,$B$2),INDEX(Supuestos!$C$14:$E$14,1,$B$2))))+(IF(BC6=2,INDEX(Supuestos!$C$12:$E$12,1,$B$2),IF(BC6=3,INDEX(Supuestos!$C$13:$E$13,1,$B$2),IF(BC6=4,INDEX(Supuestos!$C$14:$E$14,1,$B$2),INDEX(Supuestos!$C$15:$E$15,1,$B$2))))-IF(BC6=2,INDEX(Supuestos!$C$11:$E$11,1,$B$2),IF(BC6=3,INDEX(Supuestos!$C$12:$E$12,1,$B$2),IF(BC6=4,INDEX(Supuestos!$C$13:$E$13,1,$B$2),INDEX(Supuestos!$C$14:$E$14,1,$B$2)))))*BC7/12)</f>
        <v>512.5</v>
      </c>
      <c r="BD10" s="41" t="n">
        <f aca="false">IF(BD6=1,INDEX(Supuestos!$C$22:$N$22,1,BD7)*INDEX(Supuestos!$C$11:$E$11,1,$B$2),IF(BD6=2,INDEX(Supuestos!$C$11:$E$11,1,$B$2),IF(BD6=3,INDEX(Supuestos!$C$12:$E$12,1,$B$2),IF(BD6=4,INDEX(Supuestos!$C$13:$E$13,1,$B$2),INDEX(Supuestos!$C$14:$E$14,1,$B$2))))+(IF(BD6=2,INDEX(Supuestos!$C$12:$E$12,1,$B$2),IF(BD6=3,INDEX(Supuestos!$C$13:$E$13,1,$B$2),IF(BD6=4,INDEX(Supuestos!$C$14:$E$14,1,$B$2),INDEX(Supuestos!$C$15:$E$15,1,$B$2))))-IF(BD6=2,INDEX(Supuestos!$C$11:$E$11,1,$B$2),IF(BD6=3,INDEX(Supuestos!$C$12:$E$12,1,$B$2),IF(BD6=4,INDEX(Supuestos!$C$13:$E$13,1,$B$2),INDEX(Supuestos!$C$14:$E$14,1,$B$2)))))*BD7/12)</f>
        <v>525</v>
      </c>
      <c r="BE10" s="41" t="n">
        <f aca="false">IF(BE6=1,INDEX(Supuestos!$C$22:$N$22,1,BE7)*INDEX(Supuestos!$C$11:$E$11,1,$B$2),IF(BE6=2,INDEX(Supuestos!$C$11:$E$11,1,$B$2),IF(BE6=3,INDEX(Supuestos!$C$12:$E$12,1,$B$2),IF(BE6=4,INDEX(Supuestos!$C$13:$E$13,1,$B$2),INDEX(Supuestos!$C$14:$E$14,1,$B$2))))+(IF(BE6=2,INDEX(Supuestos!$C$12:$E$12,1,$B$2),IF(BE6=3,INDEX(Supuestos!$C$13:$E$13,1,$B$2),IF(BE6=4,INDEX(Supuestos!$C$14:$E$14,1,$B$2),INDEX(Supuestos!$C$15:$E$15,1,$B$2))))-IF(BE6=2,INDEX(Supuestos!$C$11:$E$11,1,$B$2),IF(BE6=3,INDEX(Supuestos!$C$12:$E$12,1,$B$2),IF(BE6=4,INDEX(Supuestos!$C$13:$E$13,1,$B$2),INDEX(Supuestos!$C$14:$E$14,1,$B$2)))))*BE7/12)</f>
        <v>537.5</v>
      </c>
      <c r="BF10" s="41" t="n">
        <f aca="false">IF(BF6=1,INDEX(Supuestos!$C$22:$N$22,1,BF7)*INDEX(Supuestos!$C$11:$E$11,1,$B$2),IF(BF6=2,INDEX(Supuestos!$C$11:$E$11,1,$B$2),IF(BF6=3,INDEX(Supuestos!$C$12:$E$12,1,$B$2),IF(BF6=4,INDEX(Supuestos!$C$13:$E$13,1,$B$2),INDEX(Supuestos!$C$14:$E$14,1,$B$2))))+(IF(BF6=2,INDEX(Supuestos!$C$12:$E$12,1,$B$2),IF(BF6=3,INDEX(Supuestos!$C$13:$E$13,1,$B$2),IF(BF6=4,INDEX(Supuestos!$C$14:$E$14,1,$B$2),INDEX(Supuestos!$C$15:$E$15,1,$B$2))))-IF(BF6=2,INDEX(Supuestos!$C$11:$E$11,1,$B$2),IF(BF6=3,INDEX(Supuestos!$C$12:$E$12,1,$B$2),IF(BF6=4,INDEX(Supuestos!$C$13:$E$13,1,$B$2),INDEX(Supuestos!$C$14:$E$14,1,$B$2)))))*BF7/12)</f>
        <v>550</v>
      </c>
      <c r="BG10" s="41" t="n">
        <f aca="false">IF(BG6=1,INDEX(Supuestos!$C$22:$N$22,1,BG7)*INDEX(Supuestos!$C$11:$E$11,1,$B$2),IF(BG6=2,INDEX(Supuestos!$C$11:$E$11,1,$B$2),IF(BG6=3,INDEX(Supuestos!$C$12:$E$12,1,$B$2),IF(BG6=4,INDEX(Supuestos!$C$13:$E$13,1,$B$2),INDEX(Supuestos!$C$14:$E$14,1,$B$2))))+(IF(BG6=2,INDEX(Supuestos!$C$12:$E$12,1,$B$2),IF(BG6=3,INDEX(Supuestos!$C$13:$E$13,1,$B$2),IF(BG6=4,INDEX(Supuestos!$C$14:$E$14,1,$B$2),INDEX(Supuestos!$C$15:$E$15,1,$B$2))))-IF(BG6=2,INDEX(Supuestos!$C$11:$E$11,1,$B$2),IF(BG6=3,INDEX(Supuestos!$C$12:$E$12,1,$B$2),IF(BG6=4,INDEX(Supuestos!$C$13:$E$13,1,$B$2),INDEX(Supuestos!$C$14:$E$14,1,$B$2)))))*BG7/12)</f>
        <v>562.5</v>
      </c>
      <c r="BH10" s="41" t="n">
        <f aca="false">IF(BH6=1,INDEX(Supuestos!$C$22:$N$22,1,BH7)*INDEX(Supuestos!$C$11:$E$11,1,$B$2),IF(BH6=2,INDEX(Supuestos!$C$11:$E$11,1,$B$2),IF(BH6=3,INDEX(Supuestos!$C$12:$E$12,1,$B$2),IF(BH6=4,INDEX(Supuestos!$C$13:$E$13,1,$B$2),INDEX(Supuestos!$C$14:$E$14,1,$B$2))))+(IF(BH6=2,INDEX(Supuestos!$C$12:$E$12,1,$B$2),IF(BH6=3,INDEX(Supuestos!$C$13:$E$13,1,$B$2),IF(BH6=4,INDEX(Supuestos!$C$14:$E$14,1,$B$2),INDEX(Supuestos!$C$15:$E$15,1,$B$2))))-IF(BH6=2,INDEX(Supuestos!$C$11:$E$11,1,$B$2),IF(BH6=3,INDEX(Supuestos!$C$12:$E$12,1,$B$2),IF(BH6=4,INDEX(Supuestos!$C$13:$E$13,1,$B$2),INDEX(Supuestos!$C$14:$E$14,1,$B$2)))))*BH7/12)</f>
        <v>575</v>
      </c>
      <c r="BI10" s="41" t="n">
        <f aca="false">IF(BI6=1,INDEX(Supuestos!$C$22:$N$22,1,BI7)*INDEX(Supuestos!$C$11:$E$11,1,$B$2),IF(BI6=2,INDEX(Supuestos!$C$11:$E$11,1,$B$2),IF(BI6=3,INDEX(Supuestos!$C$12:$E$12,1,$B$2),IF(BI6=4,INDEX(Supuestos!$C$13:$E$13,1,$B$2),INDEX(Supuestos!$C$14:$E$14,1,$B$2))))+(IF(BI6=2,INDEX(Supuestos!$C$12:$E$12,1,$B$2),IF(BI6=3,INDEX(Supuestos!$C$13:$E$13,1,$B$2),IF(BI6=4,INDEX(Supuestos!$C$14:$E$14,1,$B$2),INDEX(Supuestos!$C$15:$E$15,1,$B$2))))-IF(BI6=2,INDEX(Supuestos!$C$11:$E$11,1,$B$2),IF(BI6=3,INDEX(Supuestos!$C$12:$E$12,1,$B$2),IF(BI6=4,INDEX(Supuestos!$C$13:$E$13,1,$B$2),INDEX(Supuestos!$C$14:$E$14,1,$B$2)))))*BI7/12)</f>
        <v>587.5</v>
      </c>
      <c r="BJ10" s="41" t="n">
        <f aca="false">IF(BJ6=1,INDEX(Supuestos!$C$22:$N$22,1,BJ7)*INDEX(Supuestos!$C$11:$E$11,1,$B$2),IF(BJ6=2,INDEX(Supuestos!$C$11:$E$11,1,$B$2),IF(BJ6=3,INDEX(Supuestos!$C$12:$E$12,1,$B$2),IF(BJ6=4,INDEX(Supuestos!$C$13:$E$13,1,$B$2),INDEX(Supuestos!$C$14:$E$14,1,$B$2))))+(IF(BJ6=2,INDEX(Supuestos!$C$12:$E$12,1,$B$2),IF(BJ6=3,INDEX(Supuestos!$C$13:$E$13,1,$B$2),IF(BJ6=4,INDEX(Supuestos!$C$14:$E$14,1,$B$2),INDEX(Supuestos!$C$15:$E$15,1,$B$2))))-IF(BJ6=2,INDEX(Supuestos!$C$11:$E$11,1,$B$2),IF(BJ6=3,INDEX(Supuestos!$C$12:$E$12,1,$B$2),IF(BJ6=4,INDEX(Supuestos!$C$13:$E$13,1,$B$2),INDEX(Supuestos!$C$14:$E$14,1,$B$2)))))*BJ7/12)</f>
        <v>600</v>
      </c>
    </row>
    <row r="11" customFormat="false" ht="15" hidden="false" customHeight="true" outlineLevel="0" collapsed="false">
      <c r="A11" s="10" t="s">
        <v>243</v>
      </c>
      <c r="B11" s="7" t="s">
        <v>73</v>
      </c>
      <c r="C11" s="41" t="n">
        <v>0</v>
      </c>
      <c r="D11" s="41" t="n">
        <f aca="false">C14</f>
        <v>4.998</v>
      </c>
      <c r="E11" s="41" t="n">
        <f aca="false">D14</f>
        <v>7.5</v>
      </c>
      <c r="F11" s="41" t="n">
        <f aca="false">E14</f>
        <v>12.498</v>
      </c>
      <c r="G11" s="41" t="n">
        <f aca="false">F14</f>
        <v>17.502</v>
      </c>
      <c r="H11" s="41" t="n">
        <f aca="false">G14</f>
        <v>22.5</v>
      </c>
      <c r="I11" s="41" t="n">
        <f aca="false">H14</f>
        <v>27.498</v>
      </c>
      <c r="J11" s="41" t="n">
        <f aca="false">I14</f>
        <v>32.502</v>
      </c>
      <c r="K11" s="41" t="n">
        <f aca="false">J14</f>
        <v>40.002</v>
      </c>
      <c r="L11" s="41" t="n">
        <f aca="false">K14</f>
        <v>45</v>
      </c>
      <c r="M11" s="41" t="n">
        <f aca="false">L14</f>
        <v>49.998</v>
      </c>
      <c r="N11" s="41" t="n">
        <f aca="false">M14</f>
        <v>55.002</v>
      </c>
      <c r="O11" s="41" t="n">
        <f aca="false">N14</f>
        <v>60</v>
      </c>
      <c r="P11" s="41" t="n">
        <f aca="false">O14</f>
        <v>67.5</v>
      </c>
      <c r="Q11" s="41" t="n">
        <f aca="false">P14</f>
        <v>75</v>
      </c>
      <c r="R11" s="41" t="n">
        <f aca="false">Q14</f>
        <v>82.5</v>
      </c>
      <c r="S11" s="41" t="n">
        <f aca="false">R14</f>
        <v>90</v>
      </c>
      <c r="T11" s="41" t="n">
        <f aca="false">S14</f>
        <v>97.5</v>
      </c>
      <c r="U11" s="41" t="n">
        <f aca="false">T14</f>
        <v>105</v>
      </c>
      <c r="V11" s="41" t="n">
        <f aca="false">U14</f>
        <v>112.5</v>
      </c>
      <c r="W11" s="41" t="n">
        <f aca="false">V14</f>
        <v>120</v>
      </c>
      <c r="X11" s="41" t="n">
        <f aca="false">W14</f>
        <v>127.5</v>
      </c>
      <c r="Y11" s="41" t="n">
        <f aca="false">X14</f>
        <v>135</v>
      </c>
      <c r="Z11" s="41" t="n">
        <f aca="false">Y14</f>
        <v>142.5</v>
      </c>
      <c r="AA11" s="41" t="n">
        <f aca="false">Z14</f>
        <v>150</v>
      </c>
      <c r="AB11" s="41" t="n">
        <f aca="false">AA14</f>
        <v>162.5</v>
      </c>
      <c r="AC11" s="41" t="n">
        <f aca="false">AB14</f>
        <v>175</v>
      </c>
      <c r="AD11" s="41" t="n">
        <f aca="false">AC14</f>
        <v>187.5</v>
      </c>
      <c r="AE11" s="41" t="n">
        <f aca="false">AD14</f>
        <v>200</v>
      </c>
      <c r="AF11" s="41" t="n">
        <f aca="false">AE14</f>
        <v>212.5</v>
      </c>
      <c r="AG11" s="41" t="n">
        <f aca="false">AF14</f>
        <v>225</v>
      </c>
      <c r="AH11" s="41" t="n">
        <f aca="false">AG14</f>
        <v>237.5</v>
      </c>
      <c r="AI11" s="41" t="n">
        <f aca="false">AH14</f>
        <v>250</v>
      </c>
      <c r="AJ11" s="41" t="n">
        <f aca="false">AI14</f>
        <v>262.5</v>
      </c>
      <c r="AK11" s="41" t="n">
        <f aca="false">AJ14</f>
        <v>275</v>
      </c>
      <c r="AL11" s="41" t="n">
        <f aca="false">AK14</f>
        <v>287.5</v>
      </c>
      <c r="AM11" s="41" t="n">
        <f aca="false">AL14</f>
        <v>300</v>
      </c>
      <c r="AN11" s="41" t="n">
        <f aca="false">AM14</f>
        <v>312.5</v>
      </c>
      <c r="AO11" s="41" t="n">
        <f aca="false">AN14</f>
        <v>325</v>
      </c>
      <c r="AP11" s="41" t="n">
        <f aca="false">AO14</f>
        <v>337.5</v>
      </c>
      <c r="AQ11" s="41" t="n">
        <f aca="false">AP14</f>
        <v>350</v>
      </c>
      <c r="AR11" s="41" t="n">
        <f aca="false">AQ14</f>
        <v>362.5</v>
      </c>
      <c r="AS11" s="41" t="n">
        <f aca="false">AR14</f>
        <v>375</v>
      </c>
      <c r="AT11" s="41" t="n">
        <f aca="false">AS14</f>
        <v>387.5</v>
      </c>
      <c r="AU11" s="41" t="n">
        <f aca="false">AT14</f>
        <v>400</v>
      </c>
      <c r="AV11" s="41" t="n">
        <f aca="false">AU14</f>
        <v>412.5</v>
      </c>
      <c r="AW11" s="41" t="n">
        <f aca="false">AV14</f>
        <v>425</v>
      </c>
      <c r="AX11" s="41" t="n">
        <f aca="false">AW14</f>
        <v>437.5</v>
      </c>
      <c r="AY11" s="41" t="n">
        <f aca="false">AX14</f>
        <v>450</v>
      </c>
      <c r="AZ11" s="41" t="n">
        <f aca="false">AY14</f>
        <v>462.5</v>
      </c>
      <c r="BA11" s="41" t="n">
        <f aca="false">AZ14</f>
        <v>475</v>
      </c>
      <c r="BB11" s="41" t="n">
        <f aca="false">BA14</f>
        <v>487.5</v>
      </c>
      <c r="BC11" s="41" t="n">
        <f aca="false">BB14</f>
        <v>500</v>
      </c>
      <c r="BD11" s="41" t="n">
        <f aca="false">BC14</f>
        <v>512.5</v>
      </c>
      <c r="BE11" s="41" t="n">
        <f aca="false">BD14</f>
        <v>525</v>
      </c>
      <c r="BF11" s="41" t="n">
        <f aca="false">BE14</f>
        <v>537.5</v>
      </c>
      <c r="BG11" s="41" t="n">
        <f aca="false">BF14</f>
        <v>550</v>
      </c>
      <c r="BH11" s="41" t="n">
        <f aca="false">BG14</f>
        <v>562.5</v>
      </c>
      <c r="BI11" s="41" t="n">
        <f aca="false">BH14</f>
        <v>575</v>
      </c>
      <c r="BJ11" s="41" t="n">
        <f aca="false">BI14</f>
        <v>587.5</v>
      </c>
    </row>
    <row r="12" customFormat="false" ht="15" hidden="false" customHeight="true" outlineLevel="0" collapsed="false">
      <c r="A12" s="10" t="s">
        <v>244</v>
      </c>
      <c r="B12" s="7" t="s">
        <v>73</v>
      </c>
      <c r="C12" s="41" t="n">
        <f aca="false">C11*INDEX(Supuestos!$C$16:$E$16,1,$B$2)</f>
        <v>0</v>
      </c>
      <c r="D12" s="41" t="n">
        <f aca="false">D11*INDEX(Supuestos!$C$16:$E$16,1,$B$2)</f>
        <v>0.2499</v>
      </c>
      <c r="E12" s="41" t="n">
        <f aca="false">E11*INDEX(Supuestos!$C$16:$E$16,1,$B$2)</f>
        <v>0.375</v>
      </c>
      <c r="F12" s="41" t="n">
        <f aca="false">F11*INDEX(Supuestos!$C$16:$E$16,1,$B$2)</f>
        <v>0.6249</v>
      </c>
      <c r="G12" s="41" t="n">
        <f aca="false">G11*INDEX(Supuestos!$C$16:$E$16,1,$B$2)</f>
        <v>0.8751</v>
      </c>
      <c r="H12" s="41" t="n">
        <f aca="false">H11*INDEX(Supuestos!$C$16:$E$16,1,$B$2)</f>
        <v>1.125</v>
      </c>
      <c r="I12" s="41" t="n">
        <f aca="false">I11*INDEX(Supuestos!$C$16:$E$16,1,$B$2)</f>
        <v>1.3749</v>
      </c>
      <c r="J12" s="41" t="n">
        <f aca="false">J11*INDEX(Supuestos!$C$16:$E$16,1,$B$2)</f>
        <v>1.6251</v>
      </c>
      <c r="K12" s="41" t="n">
        <f aca="false">K11*INDEX(Supuestos!$C$16:$E$16,1,$B$2)</f>
        <v>2.0001</v>
      </c>
      <c r="L12" s="41" t="n">
        <f aca="false">L11*INDEX(Supuestos!$C$16:$E$16,1,$B$2)</f>
        <v>2.25</v>
      </c>
      <c r="M12" s="41" t="n">
        <f aca="false">M11*INDEX(Supuestos!$C$16:$E$16,1,$B$2)</f>
        <v>2.4999</v>
      </c>
      <c r="N12" s="41" t="n">
        <f aca="false">N11*INDEX(Supuestos!$C$16:$E$16,1,$B$2)</f>
        <v>2.7501</v>
      </c>
      <c r="O12" s="41" t="n">
        <f aca="false">O11*INDEX(Supuestos!$C$16:$E$16,1,$B$2)</f>
        <v>3</v>
      </c>
      <c r="P12" s="41" t="n">
        <f aca="false">P11*INDEX(Supuestos!$C$16:$E$16,1,$B$2)</f>
        <v>3.375</v>
      </c>
      <c r="Q12" s="41" t="n">
        <f aca="false">Q11*INDEX(Supuestos!$C$16:$E$16,1,$B$2)</f>
        <v>3.75</v>
      </c>
      <c r="R12" s="41" t="n">
        <f aca="false">R11*INDEX(Supuestos!$C$16:$E$16,1,$B$2)</f>
        <v>4.125</v>
      </c>
      <c r="S12" s="41" t="n">
        <f aca="false">S11*INDEX(Supuestos!$C$16:$E$16,1,$B$2)</f>
        <v>4.5</v>
      </c>
      <c r="T12" s="41" t="n">
        <f aca="false">T11*INDEX(Supuestos!$C$16:$E$16,1,$B$2)</f>
        <v>4.875</v>
      </c>
      <c r="U12" s="41" t="n">
        <f aca="false">U11*INDEX(Supuestos!$C$16:$E$16,1,$B$2)</f>
        <v>5.25</v>
      </c>
      <c r="V12" s="41" t="n">
        <f aca="false">V11*INDEX(Supuestos!$C$16:$E$16,1,$B$2)</f>
        <v>5.625</v>
      </c>
      <c r="W12" s="41" t="n">
        <f aca="false">W11*INDEX(Supuestos!$C$16:$E$16,1,$B$2)</f>
        <v>6</v>
      </c>
      <c r="X12" s="41" t="n">
        <f aca="false">X11*INDEX(Supuestos!$C$16:$E$16,1,$B$2)</f>
        <v>6.375</v>
      </c>
      <c r="Y12" s="41" t="n">
        <f aca="false">Y11*INDEX(Supuestos!$C$16:$E$16,1,$B$2)</f>
        <v>6.75</v>
      </c>
      <c r="Z12" s="41" t="n">
        <f aca="false">Z11*INDEX(Supuestos!$C$16:$E$16,1,$B$2)</f>
        <v>7.125</v>
      </c>
      <c r="AA12" s="41" t="n">
        <f aca="false">AA11*INDEX(Supuestos!$C$16:$E$16,1,$B$2)</f>
        <v>7.5</v>
      </c>
      <c r="AB12" s="41" t="n">
        <f aca="false">AB11*INDEX(Supuestos!$C$16:$E$16,1,$B$2)</f>
        <v>8.125</v>
      </c>
      <c r="AC12" s="41" t="n">
        <f aca="false">AC11*INDEX(Supuestos!$C$16:$E$16,1,$B$2)</f>
        <v>8.75</v>
      </c>
      <c r="AD12" s="41" t="n">
        <f aca="false">AD11*INDEX(Supuestos!$C$16:$E$16,1,$B$2)</f>
        <v>9.375</v>
      </c>
      <c r="AE12" s="41" t="n">
        <f aca="false">AE11*INDEX(Supuestos!$C$16:$E$16,1,$B$2)</f>
        <v>10</v>
      </c>
      <c r="AF12" s="41" t="n">
        <f aca="false">AF11*INDEX(Supuestos!$C$16:$E$16,1,$B$2)</f>
        <v>10.625</v>
      </c>
      <c r="AG12" s="41" t="n">
        <f aca="false">AG11*INDEX(Supuestos!$C$16:$E$16,1,$B$2)</f>
        <v>11.25</v>
      </c>
      <c r="AH12" s="41" t="n">
        <f aca="false">AH11*INDEX(Supuestos!$C$16:$E$16,1,$B$2)</f>
        <v>11.875</v>
      </c>
      <c r="AI12" s="41" t="n">
        <f aca="false">AI11*INDEX(Supuestos!$C$16:$E$16,1,$B$2)</f>
        <v>12.5</v>
      </c>
      <c r="AJ12" s="41" t="n">
        <f aca="false">AJ11*INDEX(Supuestos!$C$16:$E$16,1,$B$2)</f>
        <v>13.125</v>
      </c>
      <c r="AK12" s="41" t="n">
        <f aca="false">AK11*INDEX(Supuestos!$C$16:$E$16,1,$B$2)</f>
        <v>13.75</v>
      </c>
      <c r="AL12" s="41" t="n">
        <f aca="false">AL11*INDEX(Supuestos!$C$16:$E$16,1,$B$2)</f>
        <v>14.375</v>
      </c>
      <c r="AM12" s="41" t="n">
        <f aca="false">AM11*INDEX(Supuestos!$C$16:$E$16,1,$B$2)</f>
        <v>15</v>
      </c>
      <c r="AN12" s="41" t="n">
        <f aca="false">AN11*INDEX(Supuestos!$C$16:$E$16,1,$B$2)</f>
        <v>15.625</v>
      </c>
      <c r="AO12" s="41" t="n">
        <f aca="false">AO11*INDEX(Supuestos!$C$16:$E$16,1,$B$2)</f>
        <v>16.25</v>
      </c>
      <c r="AP12" s="41" t="n">
        <f aca="false">AP11*INDEX(Supuestos!$C$16:$E$16,1,$B$2)</f>
        <v>16.875</v>
      </c>
      <c r="AQ12" s="41" t="n">
        <f aca="false">AQ11*INDEX(Supuestos!$C$16:$E$16,1,$B$2)</f>
        <v>17.5</v>
      </c>
      <c r="AR12" s="41" t="n">
        <f aca="false">AR11*INDEX(Supuestos!$C$16:$E$16,1,$B$2)</f>
        <v>18.125</v>
      </c>
      <c r="AS12" s="41" t="n">
        <f aca="false">AS11*INDEX(Supuestos!$C$16:$E$16,1,$B$2)</f>
        <v>18.75</v>
      </c>
      <c r="AT12" s="41" t="n">
        <f aca="false">AT11*INDEX(Supuestos!$C$16:$E$16,1,$B$2)</f>
        <v>19.375</v>
      </c>
      <c r="AU12" s="41" t="n">
        <f aca="false">AU11*INDEX(Supuestos!$C$16:$E$16,1,$B$2)</f>
        <v>20</v>
      </c>
      <c r="AV12" s="41" t="n">
        <f aca="false">AV11*INDEX(Supuestos!$C$16:$E$16,1,$B$2)</f>
        <v>20.625</v>
      </c>
      <c r="AW12" s="41" t="n">
        <f aca="false">AW11*INDEX(Supuestos!$C$16:$E$16,1,$B$2)</f>
        <v>21.25</v>
      </c>
      <c r="AX12" s="41" t="n">
        <f aca="false">AX11*INDEX(Supuestos!$C$16:$E$16,1,$B$2)</f>
        <v>21.875</v>
      </c>
      <c r="AY12" s="41" t="n">
        <f aca="false">AY11*INDEX(Supuestos!$C$16:$E$16,1,$B$2)</f>
        <v>22.5</v>
      </c>
      <c r="AZ12" s="41" t="n">
        <f aca="false">AZ11*INDEX(Supuestos!$C$16:$E$16,1,$B$2)</f>
        <v>23.125</v>
      </c>
      <c r="BA12" s="41" t="n">
        <f aca="false">BA11*INDEX(Supuestos!$C$16:$E$16,1,$B$2)</f>
        <v>23.75</v>
      </c>
      <c r="BB12" s="41" t="n">
        <f aca="false">BB11*INDEX(Supuestos!$C$16:$E$16,1,$B$2)</f>
        <v>24.375</v>
      </c>
      <c r="BC12" s="41" t="n">
        <f aca="false">BC11*INDEX(Supuestos!$C$16:$E$16,1,$B$2)</f>
        <v>25</v>
      </c>
      <c r="BD12" s="41" t="n">
        <f aca="false">BD11*INDEX(Supuestos!$C$16:$E$16,1,$B$2)</f>
        <v>25.625</v>
      </c>
      <c r="BE12" s="41" t="n">
        <f aca="false">BE11*INDEX(Supuestos!$C$16:$E$16,1,$B$2)</f>
        <v>26.25</v>
      </c>
      <c r="BF12" s="41" t="n">
        <f aca="false">BF11*INDEX(Supuestos!$C$16:$E$16,1,$B$2)</f>
        <v>26.875</v>
      </c>
      <c r="BG12" s="41" t="n">
        <f aca="false">BG11*INDEX(Supuestos!$C$16:$E$16,1,$B$2)</f>
        <v>27.5</v>
      </c>
      <c r="BH12" s="41" t="n">
        <f aca="false">BH11*INDEX(Supuestos!$C$16:$E$16,1,$B$2)</f>
        <v>28.125</v>
      </c>
      <c r="BI12" s="41" t="n">
        <f aca="false">BI11*INDEX(Supuestos!$C$16:$E$16,1,$B$2)</f>
        <v>28.75</v>
      </c>
      <c r="BJ12" s="41" t="n">
        <f aca="false">BJ11*INDEX(Supuestos!$C$16:$E$16,1,$B$2)</f>
        <v>29.375</v>
      </c>
    </row>
    <row r="13" customFormat="false" ht="15" hidden="false" customHeight="true" outlineLevel="0" collapsed="false">
      <c r="A13" s="10" t="s">
        <v>189</v>
      </c>
      <c r="B13" s="7" t="s">
        <v>73</v>
      </c>
      <c r="C13" s="41" t="n">
        <f aca="false">MAX(0,C10-(C11-C12))</f>
        <v>4.998</v>
      </c>
      <c r="D13" s="41" t="n">
        <f aca="false">MAX(0,D10-(D11-D12))</f>
        <v>2.7519</v>
      </c>
      <c r="E13" s="41" t="n">
        <f aca="false">MAX(0,E10-(E11-E12))</f>
        <v>5.373</v>
      </c>
      <c r="F13" s="41" t="n">
        <f aca="false">MAX(0,F10-(F11-F12))</f>
        <v>5.6289</v>
      </c>
      <c r="G13" s="41" t="n">
        <f aca="false">MAX(0,G10-(G11-G12))</f>
        <v>5.8731</v>
      </c>
      <c r="H13" s="41" t="n">
        <f aca="false">MAX(0,H10-(H11-H12))</f>
        <v>6.123</v>
      </c>
      <c r="I13" s="41" t="n">
        <f aca="false">MAX(0,I10-(I11-I12))</f>
        <v>6.3789</v>
      </c>
      <c r="J13" s="41" t="n">
        <f aca="false">MAX(0,J10-(J11-J12))</f>
        <v>9.1251</v>
      </c>
      <c r="K13" s="41" t="n">
        <f aca="false">MAX(0,K10-(K11-K12))</f>
        <v>6.99810000000001</v>
      </c>
      <c r="L13" s="41" t="n">
        <f aca="false">MAX(0,L10-(L11-L12))</f>
        <v>7.24800000000001</v>
      </c>
      <c r="M13" s="41" t="n">
        <f aca="false">MAX(0,M10-(M11-M12))</f>
        <v>7.50389999999999</v>
      </c>
      <c r="N13" s="41" t="n">
        <f aca="false">MAX(0,N10-(N11-N12))</f>
        <v>7.74810000000001</v>
      </c>
      <c r="O13" s="41" t="n">
        <f aca="false">MAX(0,O10-(O11-O12))</f>
        <v>10.5</v>
      </c>
      <c r="P13" s="41" t="n">
        <f aca="false">MAX(0,P10-(P11-P12))</f>
        <v>10.875</v>
      </c>
      <c r="Q13" s="41" t="n">
        <f aca="false">MAX(0,Q10-(Q11-Q12))</f>
        <v>11.25</v>
      </c>
      <c r="R13" s="41" t="n">
        <f aca="false">MAX(0,R10-(R11-R12))</f>
        <v>11.625</v>
      </c>
      <c r="S13" s="41" t="n">
        <f aca="false">MAX(0,S10-(S11-S12))</f>
        <v>12</v>
      </c>
      <c r="T13" s="41" t="n">
        <f aca="false">MAX(0,T10-(T11-T12))</f>
        <v>12.375</v>
      </c>
      <c r="U13" s="41" t="n">
        <f aca="false">MAX(0,U10-(U11-U12))</f>
        <v>12.75</v>
      </c>
      <c r="V13" s="41" t="n">
        <f aca="false">MAX(0,V10-(V11-V12))</f>
        <v>13.125</v>
      </c>
      <c r="W13" s="41" t="n">
        <f aca="false">MAX(0,W10-(W11-W12))</f>
        <v>13.5</v>
      </c>
      <c r="X13" s="41" t="n">
        <f aca="false">MAX(0,X10-(X11-X12))</f>
        <v>13.875</v>
      </c>
      <c r="Y13" s="41" t="n">
        <f aca="false">MAX(0,Y10-(Y11-Y12))</f>
        <v>14.25</v>
      </c>
      <c r="Z13" s="41" t="n">
        <f aca="false">MAX(0,Z10-(Z11-Z12))</f>
        <v>14.625</v>
      </c>
      <c r="AA13" s="41" t="n">
        <f aca="false">MAX(0,AA10-(AA11-AA12))</f>
        <v>20</v>
      </c>
      <c r="AB13" s="41" t="n">
        <f aca="false">MAX(0,AB10-(AB11-AB12))</f>
        <v>20.625</v>
      </c>
      <c r="AC13" s="41" t="n">
        <f aca="false">MAX(0,AC10-(AC11-AC12))</f>
        <v>21.25</v>
      </c>
      <c r="AD13" s="41" t="n">
        <f aca="false">MAX(0,AD10-(AD11-AD12))</f>
        <v>21.875</v>
      </c>
      <c r="AE13" s="41" t="n">
        <f aca="false">MAX(0,AE10-(AE11-AE12))</f>
        <v>22.5</v>
      </c>
      <c r="AF13" s="41" t="n">
        <f aca="false">MAX(0,AF10-(AF11-AF12))</f>
        <v>23.125</v>
      </c>
      <c r="AG13" s="41" t="n">
        <f aca="false">MAX(0,AG10-(AG11-AG12))</f>
        <v>23.75</v>
      </c>
      <c r="AH13" s="41" t="n">
        <f aca="false">MAX(0,AH10-(AH11-AH12))</f>
        <v>24.375</v>
      </c>
      <c r="AI13" s="41" t="n">
        <f aca="false">MAX(0,AI10-(AI11-AI12))</f>
        <v>25</v>
      </c>
      <c r="AJ13" s="41" t="n">
        <f aca="false">MAX(0,AJ10-(AJ11-AJ12))</f>
        <v>25.625</v>
      </c>
      <c r="AK13" s="41" t="n">
        <f aca="false">MAX(0,AK10-(AK11-AK12))</f>
        <v>26.25</v>
      </c>
      <c r="AL13" s="41" t="n">
        <f aca="false">MAX(0,AL10-(AL11-AL12))</f>
        <v>26.875</v>
      </c>
      <c r="AM13" s="41" t="n">
        <f aca="false">MAX(0,AM10-(AM11-AM12))</f>
        <v>27.5</v>
      </c>
      <c r="AN13" s="41" t="n">
        <f aca="false">MAX(0,AN10-(AN11-AN12))</f>
        <v>28.125</v>
      </c>
      <c r="AO13" s="41" t="n">
        <f aca="false">MAX(0,AO10-(AO11-AO12))</f>
        <v>28.75</v>
      </c>
      <c r="AP13" s="41" t="n">
        <f aca="false">MAX(0,AP10-(AP11-AP12))</f>
        <v>29.375</v>
      </c>
      <c r="AQ13" s="41" t="n">
        <f aca="false">MAX(0,AQ10-(AQ11-AQ12))</f>
        <v>30</v>
      </c>
      <c r="AR13" s="41" t="n">
        <f aca="false">MAX(0,AR10-(AR11-AR12))</f>
        <v>30.625</v>
      </c>
      <c r="AS13" s="41" t="n">
        <f aca="false">MAX(0,AS10-(AS11-AS12))</f>
        <v>31.25</v>
      </c>
      <c r="AT13" s="41" t="n">
        <f aca="false">MAX(0,AT10-(AT11-AT12))</f>
        <v>31.875</v>
      </c>
      <c r="AU13" s="41" t="n">
        <f aca="false">MAX(0,AU10-(AU11-AU12))</f>
        <v>32.5</v>
      </c>
      <c r="AV13" s="41" t="n">
        <f aca="false">MAX(0,AV10-(AV11-AV12))</f>
        <v>33.125</v>
      </c>
      <c r="AW13" s="41" t="n">
        <f aca="false">MAX(0,AW10-(AW11-AW12))</f>
        <v>33.75</v>
      </c>
      <c r="AX13" s="41" t="n">
        <f aca="false">MAX(0,AX10-(AX11-AX12))</f>
        <v>34.375</v>
      </c>
      <c r="AY13" s="41" t="n">
        <f aca="false">MAX(0,AY10-(AY11-AY12))</f>
        <v>35</v>
      </c>
      <c r="AZ13" s="41" t="n">
        <f aca="false">MAX(0,AZ10-(AZ11-AZ12))</f>
        <v>35.625</v>
      </c>
      <c r="BA13" s="41" t="n">
        <f aca="false">MAX(0,BA10-(BA11-BA12))</f>
        <v>36.25</v>
      </c>
      <c r="BB13" s="41" t="n">
        <f aca="false">MAX(0,BB10-(BB11-BB12))</f>
        <v>36.875</v>
      </c>
      <c r="BC13" s="41" t="n">
        <f aca="false">MAX(0,BC10-(BC11-BC12))</f>
        <v>37.5</v>
      </c>
      <c r="BD13" s="41" t="n">
        <f aca="false">MAX(0,BD10-(BD11-BD12))</f>
        <v>38.125</v>
      </c>
      <c r="BE13" s="41" t="n">
        <f aca="false">MAX(0,BE10-(BE11-BE12))</f>
        <v>38.75</v>
      </c>
      <c r="BF13" s="41" t="n">
        <f aca="false">MAX(0,BF10-(BF11-BF12))</f>
        <v>39.375</v>
      </c>
      <c r="BG13" s="41" t="n">
        <f aca="false">MAX(0,BG10-(BG11-BG12))</f>
        <v>40</v>
      </c>
      <c r="BH13" s="41" t="n">
        <f aca="false">MAX(0,BH10-(BH11-BH12))</f>
        <v>40.625</v>
      </c>
      <c r="BI13" s="41" t="n">
        <f aca="false">MAX(0,BI10-(BI11-BI12))</f>
        <v>41.25</v>
      </c>
      <c r="BJ13" s="41" t="n">
        <f aca="false">MAX(0,BJ10-(BJ11-BJ12))</f>
        <v>41.875</v>
      </c>
    </row>
    <row r="14" customFormat="false" ht="15" hidden="false" customHeight="true" outlineLevel="0" collapsed="false">
      <c r="A14" s="16" t="s">
        <v>245</v>
      </c>
      <c r="B14" s="7" t="s">
        <v>73</v>
      </c>
      <c r="C14" s="42" t="n">
        <f aca="false">C11-C12+C13</f>
        <v>4.998</v>
      </c>
      <c r="D14" s="42" t="n">
        <f aca="false">D11-D12+D13</f>
        <v>7.5</v>
      </c>
      <c r="E14" s="42" t="n">
        <f aca="false">E11-E12+E13</f>
        <v>12.498</v>
      </c>
      <c r="F14" s="42" t="n">
        <f aca="false">F11-F12+F13</f>
        <v>17.502</v>
      </c>
      <c r="G14" s="42" t="n">
        <f aca="false">G11-G12+G13</f>
        <v>22.5</v>
      </c>
      <c r="H14" s="42" t="n">
        <f aca="false">H11-H12+H13</f>
        <v>27.498</v>
      </c>
      <c r="I14" s="42" t="n">
        <f aca="false">I11-I12+I13</f>
        <v>32.502</v>
      </c>
      <c r="J14" s="42" t="n">
        <f aca="false">J11-J12+J13</f>
        <v>40.002</v>
      </c>
      <c r="K14" s="42" t="n">
        <f aca="false">K11-K12+K13</f>
        <v>45</v>
      </c>
      <c r="L14" s="42" t="n">
        <f aca="false">L11-L12+L13</f>
        <v>49.998</v>
      </c>
      <c r="M14" s="42" t="n">
        <f aca="false">M11-M12+M13</f>
        <v>55.002</v>
      </c>
      <c r="N14" s="42" t="n">
        <f aca="false">N11-N12+N13</f>
        <v>60</v>
      </c>
      <c r="O14" s="42" t="n">
        <f aca="false">O11-O12+O13</f>
        <v>67.5</v>
      </c>
      <c r="P14" s="42" t="n">
        <f aca="false">P11-P12+P13</f>
        <v>75</v>
      </c>
      <c r="Q14" s="42" t="n">
        <f aca="false">Q11-Q12+Q13</f>
        <v>82.5</v>
      </c>
      <c r="R14" s="42" t="n">
        <f aca="false">R11-R12+R13</f>
        <v>90</v>
      </c>
      <c r="S14" s="42" t="n">
        <f aca="false">S11-S12+S13</f>
        <v>97.5</v>
      </c>
      <c r="T14" s="42" t="n">
        <f aca="false">T11-T12+T13</f>
        <v>105</v>
      </c>
      <c r="U14" s="42" t="n">
        <f aca="false">U11-U12+U13</f>
        <v>112.5</v>
      </c>
      <c r="V14" s="42" t="n">
        <f aca="false">V11-V12+V13</f>
        <v>120</v>
      </c>
      <c r="W14" s="42" t="n">
        <f aca="false">W11-W12+W13</f>
        <v>127.5</v>
      </c>
      <c r="X14" s="42" t="n">
        <f aca="false">X11-X12+X13</f>
        <v>135</v>
      </c>
      <c r="Y14" s="42" t="n">
        <f aca="false">Y11-Y12+Y13</f>
        <v>142.5</v>
      </c>
      <c r="Z14" s="42" t="n">
        <f aca="false">Z11-Z12+Z13</f>
        <v>150</v>
      </c>
      <c r="AA14" s="42" t="n">
        <f aca="false">AA11-AA12+AA13</f>
        <v>162.5</v>
      </c>
      <c r="AB14" s="42" t="n">
        <f aca="false">AB11-AB12+AB13</f>
        <v>175</v>
      </c>
      <c r="AC14" s="42" t="n">
        <f aca="false">AC11-AC12+AC13</f>
        <v>187.5</v>
      </c>
      <c r="AD14" s="42" t="n">
        <f aca="false">AD11-AD12+AD13</f>
        <v>200</v>
      </c>
      <c r="AE14" s="42" t="n">
        <f aca="false">AE11-AE12+AE13</f>
        <v>212.5</v>
      </c>
      <c r="AF14" s="42" t="n">
        <f aca="false">AF11-AF12+AF13</f>
        <v>225</v>
      </c>
      <c r="AG14" s="42" t="n">
        <f aca="false">AG11-AG12+AG13</f>
        <v>237.5</v>
      </c>
      <c r="AH14" s="42" t="n">
        <f aca="false">AH11-AH12+AH13</f>
        <v>250</v>
      </c>
      <c r="AI14" s="42" t="n">
        <f aca="false">AI11-AI12+AI13</f>
        <v>262.5</v>
      </c>
      <c r="AJ14" s="42" t="n">
        <f aca="false">AJ11-AJ12+AJ13</f>
        <v>275</v>
      </c>
      <c r="AK14" s="42" t="n">
        <f aca="false">AK11-AK12+AK13</f>
        <v>287.5</v>
      </c>
      <c r="AL14" s="42" t="n">
        <f aca="false">AL11-AL12+AL13</f>
        <v>300</v>
      </c>
      <c r="AM14" s="42" t="n">
        <f aca="false">AM11-AM12+AM13</f>
        <v>312.5</v>
      </c>
      <c r="AN14" s="42" t="n">
        <f aca="false">AN11-AN12+AN13</f>
        <v>325</v>
      </c>
      <c r="AO14" s="42" t="n">
        <f aca="false">AO11-AO12+AO13</f>
        <v>337.5</v>
      </c>
      <c r="AP14" s="42" t="n">
        <f aca="false">AP11-AP12+AP13</f>
        <v>350</v>
      </c>
      <c r="AQ14" s="42" t="n">
        <f aca="false">AQ11-AQ12+AQ13</f>
        <v>362.5</v>
      </c>
      <c r="AR14" s="42" t="n">
        <f aca="false">AR11-AR12+AR13</f>
        <v>375</v>
      </c>
      <c r="AS14" s="42" t="n">
        <f aca="false">AS11-AS12+AS13</f>
        <v>387.5</v>
      </c>
      <c r="AT14" s="42" t="n">
        <f aca="false">AT11-AT12+AT13</f>
        <v>400</v>
      </c>
      <c r="AU14" s="42" t="n">
        <f aca="false">AU11-AU12+AU13</f>
        <v>412.5</v>
      </c>
      <c r="AV14" s="42" t="n">
        <f aca="false">AV11-AV12+AV13</f>
        <v>425</v>
      </c>
      <c r="AW14" s="42" t="n">
        <f aca="false">AW11-AW12+AW13</f>
        <v>437.5</v>
      </c>
      <c r="AX14" s="42" t="n">
        <f aca="false">AX11-AX12+AX13</f>
        <v>450</v>
      </c>
      <c r="AY14" s="42" t="n">
        <f aca="false">AY11-AY12+AY13</f>
        <v>462.5</v>
      </c>
      <c r="AZ14" s="42" t="n">
        <f aca="false">AZ11-AZ12+AZ13</f>
        <v>475</v>
      </c>
      <c r="BA14" s="42" t="n">
        <f aca="false">BA11-BA12+BA13</f>
        <v>487.5</v>
      </c>
      <c r="BB14" s="42" t="n">
        <f aca="false">BB11-BB12+BB13</f>
        <v>500</v>
      </c>
      <c r="BC14" s="42" t="n">
        <f aca="false">BC11-BC12+BC13</f>
        <v>512.5</v>
      </c>
      <c r="BD14" s="42" t="n">
        <f aca="false">BD11-BD12+BD13</f>
        <v>525</v>
      </c>
      <c r="BE14" s="42" t="n">
        <f aca="false">BE11-BE12+BE13</f>
        <v>537.5</v>
      </c>
      <c r="BF14" s="42" t="n">
        <f aca="false">BF11-BF12+BF13</f>
        <v>550</v>
      </c>
      <c r="BG14" s="42" t="n">
        <f aca="false">BG11-BG12+BG13</f>
        <v>562.5</v>
      </c>
      <c r="BH14" s="42" t="n">
        <f aca="false">BH11-BH12+BH13</f>
        <v>575</v>
      </c>
      <c r="BI14" s="42" t="n">
        <f aca="false">BI11-BI12+BI13</f>
        <v>587.5</v>
      </c>
      <c r="BJ14" s="42" t="n">
        <f aca="false">BJ11-BJ12+BJ13</f>
        <v>600</v>
      </c>
    </row>
    <row r="16" customFormat="false" ht="15" hidden="false" customHeight="true" outlineLevel="0" collapsed="false">
      <c r="A16" s="28" t="s">
        <v>246</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row>
    <row r="17" customFormat="false" ht="15" hidden="false" customHeight="true" outlineLevel="0" collapsed="false">
      <c r="A17" s="10" t="s">
        <v>247</v>
      </c>
      <c r="B17" s="7" t="s">
        <v>146</v>
      </c>
      <c r="C17" s="43" t="n">
        <f aca="false">Supuestos!$C$26*(1+Supuestos!$C$27)^(C6-1)</f>
        <v>39900</v>
      </c>
      <c r="D17" s="43" t="n">
        <f aca="false">Supuestos!$C$26*(1+Supuestos!$C$27)^(D6-1)</f>
        <v>39900</v>
      </c>
      <c r="E17" s="43" t="n">
        <f aca="false">Supuestos!$C$26*(1+Supuestos!$C$27)^(E6-1)</f>
        <v>39900</v>
      </c>
      <c r="F17" s="43" t="n">
        <f aca="false">Supuestos!$C$26*(1+Supuestos!$C$27)^(F6-1)</f>
        <v>39900</v>
      </c>
      <c r="G17" s="43" t="n">
        <f aca="false">Supuestos!$C$26*(1+Supuestos!$C$27)^(G6-1)</f>
        <v>39900</v>
      </c>
      <c r="H17" s="43" t="n">
        <f aca="false">Supuestos!$C$26*(1+Supuestos!$C$27)^(H6-1)</f>
        <v>39900</v>
      </c>
      <c r="I17" s="43" t="n">
        <f aca="false">Supuestos!$C$26*(1+Supuestos!$C$27)^(I6-1)</f>
        <v>39900</v>
      </c>
      <c r="J17" s="43" t="n">
        <f aca="false">Supuestos!$C$26*(1+Supuestos!$C$27)^(J6-1)</f>
        <v>39900</v>
      </c>
      <c r="K17" s="43" t="n">
        <f aca="false">Supuestos!$C$26*(1+Supuestos!$C$27)^(K6-1)</f>
        <v>39900</v>
      </c>
      <c r="L17" s="43" t="n">
        <f aca="false">Supuestos!$C$26*(1+Supuestos!$C$27)^(L6-1)</f>
        <v>39900</v>
      </c>
      <c r="M17" s="43" t="n">
        <f aca="false">Supuestos!$C$26*(1+Supuestos!$C$27)^(M6-1)</f>
        <v>39900</v>
      </c>
      <c r="N17" s="43" t="n">
        <f aca="false">Supuestos!$C$26*(1+Supuestos!$C$27)^(N6-1)</f>
        <v>39900</v>
      </c>
      <c r="O17" s="43" t="n">
        <f aca="false">Supuestos!$C$26*(1+Supuestos!$C$27)^(O6-1)</f>
        <v>41895</v>
      </c>
      <c r="P17" s="43" t="n">
        <f aca="false">Supuestos!$C$26*(1+Supuestos!$C$27)^(P6-1)</f>
        <v>41895</v>
      </c>
      <c r="Q17" s="43" t="n">
        <f aca="false">Supuestos!$C$26*(1+Supuestos!$C$27)^(Q6-1)</f>
        <v>41895</v>
      </c>
      <c r="R17" s="43" t="n">
        <f aca="false">Supuestos!$C$26*(1+Supuestos!$C$27)^(R6-1)</f>
        <v>41895</v>
      </c>
      <c r="S17" s="43" t="n">
        <f aca="false">Supuestos!$C$26*(1+Supuestos!$C$27)^(S6-1)</f>
        <v>41895</v>
      </c>
      <c r="T17" s="43" t="n">
        <f aca="false">Supuestos!$C$26*(1+Supuestos!$C$27)^(T6-1)</f>
        <v>41895</v>
      </c>
      <c r="U17" s="43" t="n">
        <f aca="false">Supuestos!$C$26*(1+Supuestos!$C$27)^(U6-1)</f>
        <v>41895</v>
      </c>
      <c r="V17" s="43" t="n">
        <f aca="false">Supuestos!$C$26*(1+Supuestos!$C$27)^(V6-1)</f>
        <v>41895</v>
      </c>
      <c r="W17" s="43" t="n">
        <f aca="false">Supuestos!$C$26*(1+Supuestos!$C$27)^(W6-1)</f>
        <v>41895</v>
      </c>
      <c r="X17" s="43" t="n">
        <f aca="false">Supuestos!$C$26*(1+Supuestos!$C$27)^(X6-1)</f>
        <v>41895</v>
      </c>
      <c r="Y17" s="43" t="n">
        <f aca="false">Supuestos!$C$26*(1+Supuestos!$C$27)^(Y6-1)</f>
        <v>41895</v>
      </c>
      <c r="Z17" s="43" t="n">
        <f aca="false">Supuestos!$C$26*(1+Supuestos!$C$27)^(Z6-1)</f>
        <v>41895</v>
      </c>
      <c r="AA17" s="43" t="n">
        <f aca="false">Supuestos!$C$26*(1+Supuestos!$C$27)^(AA6-1)</f>
        <v>43989.75</v>
      </c>
      <c r="AB17" s="43" t="n">
        <f aca="false">Supuestos!$C$26*(1+Supuestos!$C$27)^(AB6-1)</f>
        <v>43989.75</v>
      </c>
      <c r="AC17" s="43" t="n">
        <f aca="false">Supuestos!$C$26*(1+Supuestos!$C$27)^(AC6-1)</f>
        <v>43989.75</v>
      </c>
      <c r="AD17" s="43" t="n">
        <f aca="false">Supuestos!$C$26*(1+Supuestos!$C$27)^(AD6-1)</f>
        <v>43989.75</v>
      </c>
      <c r="AE17" s="43" t="n">
        <f aca="false">Supuestos!$C$26*(1+Supuestos!$C$27)^(AE6-1)</f>
        <v>43989.75</v>
      </c>
      <c r="AF17" s="43" t="n">
        <f aca="false">Supuestos!$C$26*(1+Supuestos!$C$27)^(AF6-1)</f>
        <v>43989.75</v>
      </c>
      <c r="AG17" s="43" t="n">
        <f aca="false">Supuestos!$C$26*(1+Supuestos!$C$27)^(AG6-1)</f>
        <v>43989.75</v>
      </c>
      <c r="AH17" s="43" t="n">
        <f aca="false">Supuestos!$C$26*(1+Supuestos!$C$27)^(AH6-1)</f>
        <v>43989.75</v>
      </c>
      <c r="AI17" s="43" t="n">
        <f aca="false">Supuestos!$C$26*(1+Supuestos!$C$27)^(AI6-1)</f>
        <v>43989.75</v>
      </c>
      <c r="AJ17" s="43" t="n">
        <f aca="false">Supuestos!$C$26*(1+Supuestos!$C$27)^(AJ6-1)</f>
        <v>43989.75</v>
      </c>
      <c r="AK17" s="43" t="n">
        <f aca="false">Supuestos!$C$26*(1+Supuestos!$C$27)^(AK6-1)</f>
        <v>43989.75</v>
      </c>
      <c r="AL17" s="43" t="n">
        <f aca="false">Supuestos!$C$26*(1+Supuestos!$C$27)^(AL6-1)</f>
        <v>43989.75</v>
      </c>
      <c r="AM17" s="43" t="n">
        <f aca="false">Supuestos!$C$26*(1+Supuestos!$C$27)^(AM6-1)</f>
        <v>46189.2375</v>
      </c>
      <c r="AN17" s="43" t="n">
        <f aca="false">Supuestos!$C$26*(1+Supuestos!$C$27)^(AN6-1)</f>
        <v>46189.2375</v>
      </c>
      <c r="AO17" s="43" t="n">
        <f aca="false">Supuestos!$C$26*(1+Supuestos!$C$27)^(AO6-1)</f>
        <v>46189.2375</v>
      </c>
      <c r="AP17" s="43" t="n">
        <f aca="false">Supuestos!$C$26*(1+Supuestos!$C$27)^(AP6-1)</f>
        <v>46189.2375</v>
      </c>
      <c r="AQ17" s="43" t="n">
        <f aca="false">Supuestos!$C$26*(1+Supuestos!$C$27)^(AQ6-1)</f>
        <v>46189.2375</v>
      </c>
      <c r="AR17" s="43" t="n">
        <f aca="false">Supuestos!$C$26*(1+Supuestos!$C$27)^(AR6-1)</f>
        <v>46189.2375</v>
      </c>
      <c r="AS17" s="43" t="n">
        <f aca="false">Supuestos!$C$26*(1+Supuestos!$C$27)^(AS6-1)</f>
        <v>46189.2375</v>
      </c>
      <c r="AT17" s="43" t="n">
        <f aca="false">Supuestos!$C$26*(1+Supuestos!$C$27)^(AT6-1)</f>
        <v>46189.2375</v>
      </c>
      <c r="AU17" s="43" t="n">
        <f aca="false">Supuestos!$C$26*(1+Supuestos!$C$27)^(AU6-1)</f>
        <v>46189.2375</v>
      </c>
      <c r="AV17" s="43" t="n">
        <f aca="false">Supuestos!$C$26*(1+Supuestos!$C$27)^(AV6-1)</f>
        <v>46189.2375</v>
      </c>
      <c r="AW17" s="43" t="n">
        <f aca="false">Supuestos!$C$26*(1+Supuestos!$C$27)^(AW6-1)</f>
        <v>46189.2375</v>
      </c>
      <c r="AX17" s="43" t="n">
        <f aca="false">Supuestos!$C$26*(1+Supuestos!$C$27)^(AX6-1)</f>
        <v>46189.2375</v>
      </c>
      <c r="AY17" s="43" t="n">
        <f aca="false">Supuestos!$C$26*(1+Supuestos!$C$27)^(AY6-1)</f>
        <v>48498.699375</v>
      </c>
      <c r="AZ17" s="43" t="n">
        <f aca="false">Supuestos!$C$26*(1+Supuestos!$C$27)^(AZ6-1)</f>
        <v>48498.699375</v>
      </c>
      <c r="BA17" s="43" t="n">
        <f aca="false">Supuestos!$C$26*(1+Supuestos!$C$27)^(BA6-1)</f>
        <v>48498.699375</v>
      </c>
      <c r="BB17" s="43" t="n">
        <f aca="false">Supuestos!$C$26*(1+Supuestos!$C$27)^(BB6-1)</f>
        <v>48498.699375</v>
      </c>
      <c r="BC17" s="43" t="n">
        <f aca="false">Supuestos!$C$26*(1+Supuestos!$C$27)^(BC6-1)</f>
        <v>48498.699375</v>
      </c>
      <c r="BD17" s="43" t="n">
        <f aca="false">Supuestos!$C$26*(1+Supuestos!$C$27)^(BD6-1)</f>
        <v>48498.699375</v>
      </c>
      <c r="BE17" s="43" t="n">
        <f aca="false">Supuestos!$C$26*(1+Supuestos!$C$27)^(BE6-1)</f>
        <v>48498.699375</v>
      </c>
      <c r="BF17" s="43" t="n">
        <f aca="false">Supuestos!$C$26*(1+Supuestos!$C$27)^(BF6-1)</f>
        <v>48498.699375</v>
      </c>
      <c r="BG17" s="43" t="n">
        <f aca="false">Supuestos!$C$26*(1+Supuestos!$C$27)^(BG6-1)</f>
        <v>48498.699375</v>
      </c>
      <c r="BH17" s="43" t="n">
        <f aca="false">Supuestos!$C$26*(1+Supuestos!$C$27)^(BH6-1)</f>
        <v>48498.699375</v>
      </c>
      <c r="BI17" s="43" t="n">
        <f aca="false">Supuestos!$C$26*(1+Supuestos!$C$27)^(BI6-1)</f>
        <v>48498.699375</v>
      </c>
      <c r="BJ17" s="43" t="n">
        <f aca="false">Supuestos!$C$26*(1+Supuestos!$C$27)^(BJ6-1)</f>
        <v>48498.699375</v>
      </c>
    </row>
    <row r="18" customFormat="false" ht="15" hidden="false" customHeight="true" outlineLevel="0" collapsed="false">
      <c r="A18" s="16" t="s">
        <v>57</v>
      </c>
      <c r="B18" s="7" t="s">
        <v>146</v>
      </c>
      <c r="C18" s="35" t="n">
        <f aca="false">C14*C17</f>
        <v>199420.2</v>
      </c>
      <c r="D18" s="35" t="n">
        <f aca="false">D14*D17</f>
        <v>299250</v>
      </c>
      <c r="E18" s="35" t="n">
        <f aca="false">E14*E17</f>
        <v>498670.2</v>
      </c>
      <c r="F18" s="35" t="n">
        <f aca="false">F14*F17</f>
        <v>698329.8</v>
      </c>
      <c r="G18" s="35" t="n">
        <f aca="false">G14*G17</f>
        <v>897750</v>
      </c>
      <c r="H18" s="35" t="n">
        <f aca="false">H14*H17</f>
        <v>1097170.2</v>
      </c>
      <c r="I18" s="35" t="n">
        <f aca="false">I14*I17</f>
        <v>1296829.8</v>
      </c>
      <c r="J18" s="35" t="n">
        <f aca="false">J14*J17</f>
        <v>1596079.8</v>
      </c>
      <c r="K18" s="35" t="n">
        <f aca="false">K14*K17</f>
        <v>1795500</v>
      </c>
      <c r="L18" s="35" t="n">
        <f aca="false">L14*L17</f>
        <v>1994920.2</v>
      </c>
      <c r="M18" s="35" t="n">
        <f aca="false">M14*M17</f>
        <v>2194579.8</v>
      </c>
      <c r="N18" s="35" t="n">
        <f aca="false">N14*N17</f>
        <v>2394000</v>
      </c>
      <c r="O18" s="35" t="n">
        <f aca="false">O14*O17</f>
        <v>2827912.5</v>
      </c>
      <c r="P18" s="35" t="n">
        <f aca="false">P14*P17</f>
        <v>3142125</v>
      </c>
      <c r="Q18" s="35" t="n">
        <f aca="false">Q14*Q17</f>
        <v>3456337.5</v>
      </c>
      <c r="R18" s="35" t="n">
        <f aca="false">R14*R17</f>
        <v>3770550</v>
      </c>
      <c r="S18" s="35" t="n">
        <f aca="false">S14*S17</f>
        <v>4084762.5</v>
      </c>
      <c r="T18" s="35" t="n">
        <f aca="false">T14*T17</f>
        <v>4398975</v>
      </c>
      <c r="U18" s="35" t="n">
        <f aca="false">U14*U17</f>
        <v>4713187.5</v>
      </c>
      <c r="V18" s="35" t="n">
        <f aca="false">V14*V17</f>
        <v>5027400</v>
      </c>
      <c r="W18" s="35" t="n">
        <f aca="false">W14*W17</f>
        <v>5341612.5</v>
      </c>
      <c r="X18" s="35" t="n">
        <f aca="false">X14*X17</f>
        <v>5655825</v>
      </c>
      <c r="Y18" s="35" t="n">
        <f aca="false">Y14*Y17</f>
        <v>5970037.5</v>
      </c>
      <c r="Z18" s="35" t="n">
        <f aca="false">Z14*Z17</f>
        <v>6284250</v>
      </c>
      <c r="AA18" s="35" t="n">
        <f aca="false">AA14*AA17</f>
        <v>7148334.375</v>
      </c>
      <c r="AB18" s="35" t="n">
        <f aca="false">AB14*AB17</f>
        <v>7698206.25</v>
      </c>
      <c r="AC18" s="35" t="n">
        <f aca="false">AC14*AC17</f>
        <v>8248078.125</v>
      </c>
      <c r="AD18" s="35" t="n">
        <f aca="false">AD14*AD17</f>
        <v>8797950</v>
      </c>
      <c r="AE18" s="35" t="n">
        <f aca="false">AE14*AE17</f>
        <v>9347821.875</v>
      </c>
      <c r="AF18" s="35" t="n">
        <f aca="false">AF14*AF17</f>
        <v>9897693.75</v>
      </c>
      <c r="AG18" s="35" t="n">
        <f aca="false">AG14*AG17</f>
        <v>10447565.625</v>
      </c>
      <c r="AH18" s="35" t="n">
        <f aca="false">AH14*AH17</f>
        <v>10997437.5</v>
      </c>
      <c r="AI18" s="35" t="n">
        <f aca="false">AI14*AI17</f>
        <v>11547309.375</v>
      </c>
      <c r="AJ18" s="35" t="n">
        <f aca="false">AJ14*AJ17</f>
        <v>12097181.25</v>
      </c>
      <c r="AK18" s="35" t="n">
        <f aca="false">AK14*AK17</f>
        <v>12647053.125</v>
      </c>
      <c r="AL18" s="35" t="n">
        <f aca="false">AL14*AL17</f>
        <v>13196925</v>
      </c>
      <c r="AM18" s="35" t="n">
        <f aca="false">AM14*AM17</f>
        <v>14434136.71875</v>
      </c>
      <c r="AN18" s="35" t="n">
        <f aca="false">AN14*AN17</f>
        <v>15011502.1875</v>
      </c>
      <c r="AO18" s="35" t="n">
        <f aca="false">AO14*AO17</f>
        <v>15588867.65625</v>
      </c>
      <c r="AP18" s="35" t="n">
        <f aca="false">AP14*AP17</f>
        <v>16166233.125</v>
      </c>
      <c r="AQ18" s="35" t="n">
        <f aca="false">AQ14*AQ17</f>
        <v>16743598.59375</v>
      </c>
      <c r="AR18" s="35" t="n">
        <f aca="false">AR14*AR17</f>
        <v>17320964.0625</v>
      </c>
      <c r="AS18" s="35" t="n">
        <f aca="false">AS14*AS17</f>
        <v>17898329.53125</v>
      </c>
      <c r="AT18" s="35" t="n">
        <f aca="false">AT14*AT17</f>
        <v>18475695</v>
      </c>
      <c r="AU18" s="35" t="n">
        <f aca="false">AU14*AU17</f>
        <v>19053060.46875</v>
      </c>
      <c r="AV18" s="35" t="n">
        <f aca="false">AV14*AV17</f>
        <v>19630425.9375</v>
      </c>
      <c r="AW18" s="35" t="n">
        <f aca="false">AW14*AW17</f>
        <v>20207791.40625</v>
      </c>
      <c r="AX18" s="35" t="n">
        <f aca="false">AX14*AX17</f>
        <v>20785156.875</v>
      </c>
      <c r="AY18" s="35" t="n">
        <f aca="false">AY14*AY17</f>
        <v>22430648.4609375</v>
      </c>
      <c r="AZ18" s="35" t="n">
        <f aca="false">AZ14*AZ17</f>
        <v>23036882.203125</v>
      </c>
      <c r="BA18" s="35" t="n">
        <f aca="false">BA14*BA17</f>
        <v>23643115.9453125</v>
      </c>
      <c r="BB18" s="35" t="n">
        <f aca="false">BB14*BB17</f>
        <v>24249349.6875</v>
      </c>
      <c r="BC18" s="35" t="n">
        <f aca="false">BC14*BC17</f>
        <v>24855583.4296875</v>
      </c>
      <c r="BD18" s="35" t="n">
        <f aca="false">BD14*BD17</f>
        <v>25461817.171875</v>
      </c>
      <c r="BE18" s="35" t="n">
        <f aca="false">BE14*BE17</f>
        <v>26068050.9140625</v>
      </c>
      <c r="BF18" s="35" t="n">
        <f aca="false">BF14*BF17</f>
        <v>26674284.65625</v>
      </c>
      <c r="BG18" s="35" t="n">
        <f aca="false">BG14*BG17</f>
        <v>27280518.3984375</v>
      </c>
      <c r="BH18" s="35" t="n">
        <f aca="false">BH14*BH17</f>
        <v>27886752.140625</v>
      </c>
      <c r="BI18" s="35" t="n">
        <f aca="false">BI14*BI17</f>
        <v>28492985.8828125</v>
      </c>
      <c r="BJ18" s="35" t="n">
        <f aca="false">BJ14*BJ17</f>
        <v>29099219.625</v>
      </c>
    </row>
    <row r="19" customFormat="false" ht="15" hidden="false" customHeight="true" outlineLevel="0" collapsed="false">
      <c r="A19" s="10" t="s">
        <v>248</v>
      </c>
      <c r="B19" s="7" t="s">
        <v>146</v>
      </c>
      <c r="C19" s="43" t="n">
        <f aca="false">C14*Supuestos!$C$29*(1+Supuestos!$C$39)^(C6-1)</f>
        <v>6247.5</v>
      </c>
      <c r="D19" s="43" t="n">
        <f aca="false">D14*Supuestos!$C$29*(1+Supuestos!$C$39)^(D6-1)</f>
        <v>9375</v>
      </c>
      <c r="E19" s="43" t="n">
        <f aca="false">E14*Supuestos!$C$29*(1+Supuestos!$C$39)^(E6-1)</f>
        <v>15622.5</v>
      </c>
      <c r="F19" s="43" t="n">
        <f aca="false">F14*Supuestos!$C$29*(1+Supuestos!$C$39)^(F6-1)</f>
        <v>21877.5</v>
      </c>
      <c r="G19" s="43" t="n">
        <f aca="false">G14*Supuestos!$C$29*(1+Supuestos!$C$39)^(G6-1)</f>
        <v>28125</v>
      </c>
      <c r="H19" s="43" t="n">
        <f aca="false">H14*Supuestos!$C$29*(1+Supuestos!$C$39)^(H6-1)</f>
        <v>34372.5</v>
      </c>
      <c r="I19" s="43" t="n">
        <f aca="false">I14*Supuestos!$C$29*(1+Supuestos!$C$39)^(I6-1)</f>
        <v>40627.5</v>
      </c>
      <c r="J19" s="43" t="n">
        <f aca="false">J14*Supuestos!$C$29*(1+Supuestos!$C$39)^(J6-1)</f>
        <v>50002.5</v>
      </c>
      <c r="K19" s="43" t="n">
        <f aca="false">K14*Supuestos!$C$29*(1+Supuestos!$C$39)^(K6-1)</f>
        <v>56250</v>
      </c>
      <c r="L19" s="43" t="n">
        <f aca="false">L14*Supuestos!$C$29*(1+Supuestos!$C$39)^(L6-1)</f>
        <v>62497.5</v>
      </c>
      <c r="M19" s="43" t="n">
        <f aca="false">M14*Supuestos!$C$29*(1+Supuestos!$C$39)^(M6-1)</f>
        <v>68752.5</v>
      </c>
      <c r="N19" s="43" t="n">
        <f aca="false">N14*Supuestos!$C$29*(1+Supuestos!$C$39)^(N6-1)</f>
        <v>75000</v>
      </c>
      <c r="O19" s="43" t="n">
        <f aca="false">O14*Supuestos!$C$29*(1+Supuestos!$C$39)^(O6-1)</f>
        <v>88593.75</v>
      </c>
      <c r="P19" s="43" t="n">
        <f aca="false">P14*Supuestos!$C$29*(1+Supuestos!$C$39)^(P6-1)</f>
        <v>98437.5</v>
      </c>
      <c r="Q19" s="43" t="n">
        <f aca="false">Q14*Supuestos!$C$29*(1+Supuestos!$C$39)^(Q6-1)</f>
        <v>108281.25</v>
      </c>
      <c r="R19" s="43" t="n">
        <f aca="false">R14*Supuestos!$C$29*(1+Supuestos!$C$39)^(R6-1)</f>
        <v>118125</v>
      </c>
      <c r="S19" s="43" t="n">
        <f aca="false">S14*Supuestos!$C$29*(1+Supuestos!$C$39)^(S6-1)</f>
        <v>127968.75</v>
      </c>
      <c r="T19" s="43" t="n">
        <f aca="false">T14*Supuestos!$C$29*(1+Supuestos!$C$39)^(T6-1)</f>
        <v>137812.5</v>
      </c>
      <c r="U19" s="43" t="n">
        <f aca="false">U14*Supuestos!$C$29*(1+Supuestos!$C$39)^(U6-1)</f>
        <v>147656.25</v>
      </c>
      <c r="V19" s="43" t="n">
        <f aca="false">V14*Supuestos!$C$29*(1+Supuestos!$C$39)^(V6-1)</f>
        <v>157500</v>
      </c>
      <c r="W19" s="43" t="n">
        <f aca="false">W14*Supuestos!$C$29*(1+Supuestos!$C$39)^(W6-1)</f>
        <v>167343.75</v>
      </c>
      <c r="X19" s="43" t="n">
        <f aca="false">X14*Supuestos!$C$29*(1+Supuestos!$C$39)^(X6-1)</f>
        <v>177187.5</v>
      </c>
      <c r="Y19" s="43" t="n">
        <f aca="false">Y14*Supuestos!$C$29*(1+Supuestos!$C$39)^(Y6-1)</f>
        <v>187031.25</v>
      </c>
      <c r="Z19" s="43" t="n">
        <f aca="false">Z14*Supuestos!$C$29*(1+Supuestos!$C$39)^(Z6-1)</f>
        <v>196875</v>
      </c>
      <c r="AA19" s="43" t="n">
        <f aca="false">AA14*Supuestos!$C$29*(1+Supuestos!$C$39)^(AA6-1)</f>
        <v>223945.3125</v>
      </c>
      <c r="AB19" s="43" t="n">
        <f aca="false">AB14*Supuestos!$C$29*(1+Supuestos!$C$39)^(AB6-1)</f>
        <v>241171.875</v>
      </c>
      <c r="AC19" s="43" t="n">
        <f aca="false">AC14*Supuestos!$C$29*(1+Supuestos!$C$39)^(AC6-1)</f>
        <v>258398.4375</v>
      </c>
      <c r="AD19" s="43" t="n">
        <f aca="false">AD14*Supuestos!$C$29*(1+Supuestos!$C$39)^(AD6-1)</f>
        <v>275625</v>
      </c>
      <c r="AE19" s="43" t="n">
        <f aca="false">AE14*Supuestos!$C$29*(1+Supuestos!$C$39)^(AE6-1)</f>
        <v>292851.5625</v>
      </c>
      <c r="AF19" s="43" t="n">
        <f aca="false">AF14*Supuestos!$C$29*(1+Supuestos!$C$39)^(AF6-1)</f>
        <v>310078.125</v>
      </c>
      <c r="AG19" s="43" t="n">
        <f aca="false">AG14*Supuestos!$C$29*(1+Supuestos!$C$39)^(AG6-1)</f>
        <v>327304.6875</v>
      </c>
      <c r="AH19" s="43" t="n">
        <f aca="false">AH14*Supuestos!$C$29*(1+Supuestos!$C$39)^(AH6-1)</f>
        <v>344531.25</v>
      </c>
      <c r="AI19" s="43" t="n">
        <f aca="false">AI14*Supuestos!$C$29*(1+Supuestos!$C$39)^(AI6-1)</f>
        <v>361757.8125</v>
      </c>
      <c r="AJ19" s="43" t="n">
        <f aca="false">AJ14*Supuestos!$C$29*(1+Supuestos!$C$39)^(AJ6-1)</f>
        <v>378984.375</v>
      </c>
      <c r="AK19" s="43" t="n">
        <f aca="false">AK14*Supuestos!$C$29*(1+Supuestos!$C$39)^(AK6-1)</f>
        <v>396210.9375</v>
      </c>
      <c r="AL19" s="43" t="n">
        <f aca="false">AL14*Supuestos!$C$29*(1+Supuestos!$C$39)^(AL6-1)</f>
        <v>413437.5</v>
      </c>
      <c r="AM19" s="43" t="n">
        <f aca="false">AM14*Supuestos!$C$29*(1+Supuestos!$C$39)^(AM6-1)</f>
        <v>452197.265625</v>
      </c>
      <c r="AN19" s="43" t="n">
        <f aca="false">AN14*Supuestos!$C$29*(1+Supuestos!$C$39)^(AN6-1)</f>
        <v>470285.15625</v>
      </c>
      <c r="AO19" s="43" t="n">
        <f aca="false">AO14*Supuestos!$C$29*(1+Supuestos!$C$39)^(AO6-1)</f>
        <v>488373.046875</v>
      </c>
      <c r="AP19" s="43" t="n">
        <f aca="false">AP14*Supuestos!$C$29*(1+Supuestos!$C$39)^(AP6-1)</f>
        <v>506460.9375</v>
      </c>
      <c r="AQ19" s="43" t="n">
        <f aca="false">AQ14*Supuestos!$C$29*(1+Supuestos!$C$39)^(AQ6-1)</f>
        <v>524548.828125</v>
      </c>
      <c r="AR19" s="43" t="n">
        <f aca="false">AR14*Supuestos!$C$29*(1+Supuestos!$C$39)^(AR6-1)</f>
        <v>542636.71875</v>
      </c>
      <c r="AS19" s="43" t="n">
        <f aca="false">AS14*Supuestos!$C$29*(1+Supuestos!$C$39)^(AS6-1)</f>
        <v>560724.609375</v>
      </c>
      <c r="AT19" s="43" t="n">
        <f aca="false">AT14*Supuestos!$C$29*(1+Supuestos!$C$39)^(AT6-1)</f>
        <v>578812.5</v>
      </c>
      <c r="AU19" s="43" t="n">
        <f aca="false">AU14*Supuestos!$C$29*(1+Supuestos!$C$39)^(AU6-1)</f>
        <v>596900.390625</v>
      </c>
      <c r="AV19" s="43" t="n">
        <f aca="false">AV14*Supuestos!$C$29*(1+Supuestos!$C$39)^(AV6-1)</f>
        <v>614988.28125</v>
      </c>
      <c r="AW19" s="43" t="n">
        <f aca="false">AW14*Supuestos!$C$29*(1+Supuestos!$C$39)^(AW6-1)</f>
        <v>633076.171875</v>
      </c>
      <c r="AX19" s="43" t="n">
        <f aca="false">AX14*Supuestos!$C$29*(1+Supuestos!$C$39)^(AX6-1)</f>
        <v>651164.0625</v>
      </c>
      <c r="AY19" s="43" t="n">
        <f aca="false">AY14*Supuestos!$C$29*(1+Supuestos!$C$39)^(AY6-1)</f>
        <v>702714.55078125</v>
      </c>
      <c r="AZ19" s="43" t="n">
        <f aca="false">AZ14*Supuestos!$C$29*(1+Supuestos!$C$39)^(AZ6-1)</f>
        <v>721706.8359375</v>
      </c>
      <c r="BA19" s="43" t="n">
        <f aca="false">BA14*Supuestos!$C$29*(1+Supuestos!$C$39)^(BA6-1)</f>
        <v>740699.12109375</v>
      </c>
      <c r="BB19" s="43" t="n">
        <f aca="false">BB14*Supuestos!$C$29*(1+Supuestos!$C$39)^(BB6-1)</f>
        <v>759691.40625</v>
      </c>
      <c r="BC19" s="43" t="n">
        <f aca="false">BC14*Supuestos!$C$29*(1+Supuestos!$C$39)^(BC6-1)</f>
        <v>778683.69140625</v>
      </c>
      <c r="BD19" s="43" t="n">
        <f aca="false">BD14*Supuestos!$C$29*(1+Supuestos!$C$39)^(BD6-1)</f>
        <v>797675.9765625</v>
      </c>
      <c r="BE19" s="43" t="n">
        <f aca="false">BE14*Supuestos!$C$29*(1+Supuestos!$C$39)^(BE6-1)</f>
        <v>816668.26171875</v>
      </c>
      <c r="BF19" s="43" t="n">
        <f aca="false">BF14*Supuestos!$C$29*(1+Supuestos!$C$39)^(BF6-1)</f>
        <v>835660.546875</v>
      </c>
      <c r="BG19" s="43" t="n">
        <f aca="false">BG14*Supuestos!$C$29*(1+Supuestos!$C$39)^(BG6-1)</f>
        <v>854652.83203125</v>
      </c>
      <c r="BH19" s="43" t="n">
        <f aca="false">BH14*Supuestos!$C$29*(1+Supuestos!$C$39)^(BH6-1)</f>
        <v>873645.1171875</v>
      </c>
      <c r="BI19" s="43" t="n">
        <f aca="false">BI14*Supuestos!$C$29*(1+Supuestos!$C$39)^(BI6-1)</f>
        <v>892637.40234375</v>
      </c>
      <c r="BJ19" s="43" t="n">
        <f aca="false">BJ14*Supuestos!$C$29*(1+Supuestos!$C$39)^(BJ6-1)</f>
        <v>911629.6875</v>
      </c>
    </row>
    <row r="20" customFormat="false" ht="15" hidden="false" customHeight="true" outlineLevel="0" collapsed="false">
      <c r="A20" s="10" t="s">
        <v>67</v>
      </c>
      <c r="B20" s="7" t="s">
        <v>146</v>
      </c>
      <c r="C20" s="43" t="n">
        <f aca="false">C18*Supuestos!$C$30</f>
        <v>5982.606</v>
      </c>
      <c r="D20" s="43" t="n">
        <f aca="false">D18*Supuestos!$C$30</f>
        <v>8977.5</v>
      </c>
      <c r="E20" s="43" t="n">
        <f aca="false">E18*Supuestos!$C$30</f>
        <v>14960.106</v>
      </c>
      <c r="F20" s="43" t="n">
        <f aca="false">F18*Supuestos!$C$30</f>
        <v>20949.894</v>
      </c>
      <c r="G20" s="43" t="n">
        <f aca="false">G18*Supuestos!$C$30</f>
        <v>26932.5</v>
      </c>
      <c r="H20" s="43" t="n">
        <f aca="false">H18*Supuestos!$C$30</f>
        <v>32915.106</v>
      </c>
      <c r="I20" s="43" t="n">
        <f aca="false">I18*Supuestos!$C$30</f>
        <v>38904.894</v>
      </c>
      <c r="J20" s="43" t="n">
        <f aca="false">J18*Supuestos!$C$30</f>
        <v>47882.394</v>
      </c>
      <c r="K20" s="43" t="n">
        <f aca="false">K18*Supuestos!$C$30</f>
        <v>53865</v>
      </c>
      <c r="L20" s="43" t="n">
        <f aca="false">L18*Supuestos!$C$30</f>
        <v>59847.606</v>
      </c>
      <c r="M20" s="43" t="n">
        <f aca="false">M18*Supuestos!$C$30</f>
        <v>65837.394</v>
      </c>
      <c r="N20" s="43" t="n">
        <f aca="false">N18*Supuestos!$C$30</f>
        <v>71820</v>
      </c>
      <c r="O20" s="43" t="n">
        <f aca="false">O18*Supuestos!$C$30</f>
        <v>84837.375</v>
      </c>
      <c r="P20" s="43" t="n">
        <f aca="false">P18*Supuestos!$C$30</f>
        <v>94263.75</v>
      </c>
      <c r="Q20" s="43" t="n">
        <f aca="false">Q18*Supuestos!$C$30</f>
        <v>103690.125</v>
      </c>
      <c r="R20" s="43" t="n">
        <f aca="false">R18*Supuestos!$C$30</f>
        <v>113116.5</v>
      </c>
      <c r="S20" s="43" t="n">
        <f aca="false">S18*Supuestos!$C$30</f>
        <v>122542.875</v>
      </c>
      <c r="T20" s="43" t="n">
        <f aca="false">T18*Supuestos!$C$30</f>
        <v>131969.25</v>
      </c>
      <c r="U20" s="43" t="n">
        <f aca="false">U18*Supuestos!$C$30</f>
        <v>141395.625</v>
      </c>
      <c r="V20" s="43" t="n">
        <f aca="false">V18*Supuestos!$C$30</f>
        <v>150822</v>
      </c>
      <c r="W20" s="43" t="n">
        <f aca="false">W18*Supuestos!$C$30</f>
        <v>160248.375</v>
      </c>
      <c r="X20" s="43" t="n">
        <f aca="false">X18*Supuestos!$C$30</f>
        <v>169674.75</v>
      </c>
      <c r="Y20" s="43" t="n">
        <f aca="false">Y18*Supuestos!$C$30</f>
        <v>179101.125</v>
      </c>
      <c r="Z20" s="43" t="n">
        <f aca="false">Z18*Supuestos!$C$30</f>
        <v>188527.5</v>
      </c>
      <c r="AA20" s="43" t="n">
        <f aca="false">AA18*Supuestos!$C$30</f>
        <v>214450.03125</v>
      </c>
      <c r="AB20" s="43" t="n">
        <f aca="false">AB18*Supuestos!$C$30</f>
        <v>230946.1875</v>
      </c>
      <c r="AC20" s="43" t="n">
        <f aca="false">AC18*Supuestos!$C$30</f>
        <v>247442.34375</v>
      </c>
      <c r="AD20" s="43" t="n">
        <f aca="false">AD18*Supuestos!$C$30</f>
        <v>263938.5</v>
      </c>
      <c r="AE20" s="43" t="n">
        <f aca="false">AE18*Supuestos!$C$30</f>
        <v>280434.65625</v>
      </c>
      <c r="AF20" s="43" t="n">
        <f aca="false">AF18*Supuestos!$C$30</f>
        <v>296930.8125</v>
      </c>
      <c r="AG20" s="43" t="n">
        <f aca="false">AG18*Supuestos!$C$30</f>
        <v>313426.96875</v>
      </c>
      <c r="AH20" s="43" t="n">
        <f aca="false">AH18*Supuestos!$C$30</f>
        <v>329923.125</v>
      </c>
      <c r="AI20" s="43" t="n">
        <f aca="false">AI18*Supuestos!$C$30</f>
        <v>346419.28125</v>
      </c>
      <c r="AJ20" s="43" t="n">
        <f aca="false">AJ18*Supuestos!$C$30</f>
        <v>362915.4375</v>
      </c>
      <c r="AK20" s="43" t="n">
        <f aca="false">AK18*Supuestos!$C$30</f>
        <v>379411.59375</v>
      </c>
      <c r="AL20" s="43" t="n">
        <f aca="false">AL18*Supuestos!$C$30</f>
        <v>395907.75</v>
      </c>
      <c r="AM20" s="43" t="n">
        <f aca="false">AM18*Supuestos!$C$30</f>
        <v>433024.1015625</v>
      </c>
      <c r="AN20" s="43" t="n">
        <f aca="false">AN18*Supuestos!$C$30</f>
        <v>450345.065625</v>
      </c>
      <c r="AO20" s="43" t="n">
        <f aca="false">AO18*Supuestos!$C$30</f>
        <v>467666.0296875</v>
      </c>
      <c r="AP20" s="43" t="n">
        <f aca="false">AP18*Supuestos!$C$30</f>
        <v>484986.99375</v>
      </c>
      <c r="AQ20" s="43" t="n">
        <f aca="false">AQ18*Supuestos!$C$30</f>
        <v>502307.9578125</v>
      </c>
      <c r="AR20" s="43" t="n">
        <f aca="false">AR18*Supuestos!$C$30</f>
        <v>519628.921875</v>
      </c>
      <c r="AS20" s="43" t="n">
        <f aca="false">AS18*Supuestos!$C$30</f>
        <v>536949.8859375</v>
      </c>
      <c r="AT20" s="43" t="n">
        <f aca="false">AT18*Supuestos!$C$30</f>
        <v>554270.85</v>
      </c>
      <c r="AU20" s="43" t="n">
        <f aca="false">AU18*Supuestos!$C$30</f>
        <v>571591.8140625</v>
      </c>
      <c r="AV20" s="43" t="n">
        <f aca="false">AV18*Supuestos!$C$30</f>
        <v>588912.778125</v>
      </c>
      <c r="AW20" s="43" t="n">
        <f aca="false">AW18*Supuestos!$C$30</f>
        <v>606233.7421875</v>
      </c>
      <c r="AX20" s="43" t="n">
        <f aca="false">AX18*Supuestos!$C$30</f>
        <v>623554.70625</v>
      </c>
      <c r="AY20" s="43" t="n">
        <f aca="false">AY18*Supuestos!$C$30</f>
        <v>672919.453828125</v>
      </c>
      <c r="AZ20" s="43" t="n">
        <f aca="false">AZ18*Supuestos!$C$30</f>
        <v>691106.46609375</v>
      </c>
      <c r="BA20" s="43" t="n">
        <f aca="false">BA18*Supuestos!$C$30</f>
        <v>709293.478359375</v>
      </c>
      <c r="BB20" s="43" t="n">
        <f aca="false">BB18*Supuestos!$C$30</f>
        <v>727480.490625</v>
      </c>
      <c r="BC20" s="43" t="n">
        <f aca="false">BC18*Supuestos!$C$30</f>
        <v>745667.502890625</v>
      </c>
      <c r="BD20" s="43" t="n">
        <f aca="false">BD18*Supuestos!$C$30</f>
        <v>763854.51515625</v>
      </c>
      <c r="BE20" s="43" t="n">
        <f aca="false">BE18*Supuestos!$C$30</f>
        <v>782041.527421875</v>
      </c>
      <c r="BF20" s="43" t="n">
        <f aca="false">BF18*Supuestos!$C$30</f>
        <v>800228.5396875</v>
      </c>
      <c r="BG20" s="43" t="n">
        <f aca="false">BG18*Supuestos!$C$30</f>
        <v>818415.551953125</v>
      </c>
      <c r="BH20" s="43" t="n">
        <f aca="false">BH18*Supuestos!$C$30</f>
        <v>836602.56421875</v>
      </c>
      <c r="BI20" s="43" t="n">
        <f aca="false">BI18*Supuestos!$C$30</f>
        <v>854789.576484375</v>
      </c>
      <c r="BJ20" s="43" t="n">
        <f aca="false">BJ18*Supuestos!$C$30</f>
        <v>872976.58875</v>
      </c>
    </row>
    <row r="21" customFormat="false" ht="15" hidden="false" customHeight="true" outlineLevel="0" collapsed="false">
      <c r="A21" s="10" t="s">
        <v>249</v>
      </c>
      <c r="B21" s="7" t="s">
        <v>146</v>
      </c>
      <c r="C21" s="43" t="n">
        <f aca="false">IF(C14&lt;=Supuestos!$C$32,Supuestos!$C$31,IF(C14&lt;=Supuestos!$C$34,Supuestos!$C$33,Supuestos!$C$35))</f>
        <v>220000</v>
      </c>
      <c r="D21" s="43" t="n">
        <f aca="false">IF(D14&lt;=Supuestos!$C$32,Supuestos!$C$31,IF(D14&lt;=Supuestos!$C$34,Supuestos!$C$33,Supuestos!$C$35))</f>
        <v>220000</v>
      </c>
      <c r="E21" s="43" t="n">
        <f aca="false">IF(E14&lt;=Supuestos!$C$32,Supuestos!$C$31,IF(E14&lt;=Supuestos!$C$34,Supuestos!$C$33,Supuestos!$C$35))</f>
        <v>220000</v>
      </c>
      <c r="F21" s="43" t="n">
        <f aca="false">IF(F14&lt;=Supuestos!$C$32,Supuestos!$C$31,IF(F14&lt;=Supuestos!$C$34,Supuestos!$C$33,Supuestos!$C$35))</f>
        <v>220000</v>
      </c>
      <c r="G21" s="43" t="n">
        <f aca="false">IF(G14&lt;=Supuestos!$C$32,Supuestos!$C$31,IF(G14&lt;=Supuestos!$C$34,Supuestos!$C$33,Supuestos!$C$35))</f>
        <v>220000</v>
      </c>
      <c r="H21" s="43" t="n">
        <f aca="false">IF(H14&lt;=Supuestos!$C$32,Supuestos!$C$31,IF(H14&lt;=Supuestos!$C$34,Supuestos!$C$33,Supuestos!$C$35))</f>
        <v>220000</v>
      </c>
      <c r="I21" s="43" t="n">
        <f aca="false">IF(I14&lt;=Supuestos!$C$32,Supuestos!$C$31,IF(I14&lt;=Supuestos!$C$34,Supuestos!$C$33,Supuestos!$C$35))</f>
        <v>220000</v>
      </c>
      <c r="J21" s="43" t="n">
        <f aca="false">IF(J14&lt;=Supuestos!$C$32,Supuestos!$C$31,IF(J14&lt;=Supuestos!$C$34,Supuestos!$C$33,Supuestos!$C$35))</f>
        <v>220000</v>
      </c>
      <c r="K21" s="43" t="n">
        <f aca="false">IF(K14&lt;=Supuestos!$C$32,Supuestos!$C$31,IF(K14&lt;=Supuestos!$C$34,Supuestos!$C$33,Supuestos!$C$35))</f>
        <v>220000</v>
      </c>
      <c r="L21" s="43" t="n">
        <f aca="false">IF(L14&lt;=Supuestos!$C$32,Supuestos!$C$31,IF(L14&lt;=Supuestos!$C$34,Supuestos!$C$33,Supuestos!$C$35))</f>
        <v>220000</v>
      </c>
      <c r="M21" s="43" t="n">
        <f aca="false">IF(M14&lt;=Supuestos!$C$32,Supuestos!$C$31,IF(M14&lt;=Supuestos!$C$34,Supuestos!$C$33,Supuestos!$C$35))</f>
        <v>220000</v>
      </c>
      <c r="N21" s="43" t="n">
        <f aca="false">IF(N14&lt;=Supuestos!$C$32,Supuestos!$C$31,IF(N14&lt;=Supuestos!$C$34,Supuestos!$C$33,Supuestos!$C$35))</f>
        <v>220000</v>
      </c>
      <c r="O21" s="43" t="n">
        <f aca="false">IF(O14&lt;=Supuestos!$C$32,Supuestos!$C$31,IF(O14&lt;=Supuestos!$C$34,Supuestos!$C$33,Supuestos!$C$35))</f>
        <v>220000</v>
      </c>
      <c r="P21" s="43" t="n">
        <f aca="false">IF(P14&lt;=Supuestos!$C$32,Supuestos!$C$31,IF(P14&lt;=Supuestos!$C$34,Supuestos!$C$33,Supuestos!$C$35))</f>
        <v>220000</v>
      </c>
      <c r="Q21" s="43" t="n">
        <f aca="false">IF(Q14&lt;=Supuestos!$C$32,Supuestos!$C$31,IF(Q14&lt;=Supuestos!$C$34,Supuestos!$C$33,Supuestos!$C$35))</f>
        <v>220000</v>
      </c>
      <c r="R21" s="43" t="n">
        <f aca="false">IF(R14&lt;=Supuestos!$C$32,Supuestos!$C$31,IF(R14&lt;=Supuestos!$C$34,Supuestos!$C$33,Supuestos!$C$35))</f>
        <v>220000</v>
      </c>
      <c r="S21" s="43" t="n">
        <f aca="false">IF(S14&lt;=Supuestos!$C$32,Supuestos!$C$31,IF(S14&lt;=Supuestos!$C$34,Supuestos!$C$33,Supuestos!$C$35))</f>
        <v>220000</v>
      </c>
      <c r="T21" s="43" t="n">
        <f aca="false">IF(T14&lt;=Supuestos!$C$32,Supuestos!$C$31,IF(T14&lt;=Supuestos!$C$34,Supuestos!$C$33,Supuestos!$C$35))</f>
        <v>220000</v>
      </c>
      <c r="U21" s="43" t="n">
        <f aca="false">IF(U14&lt;=Supuestos!$C$32,Supuestos!$C$31,IF(U14&lt;=Supuestos!$C$34,Supuestos!$C$33,Supuestos!$C$35))</f>
        <v>220000</v>
      </c>
      <c r="V21" s="43" t="n">
        <f aca="false">IF(V14&lt;=Supuestos!$C$32,Supuestos!$C$31,IF(V14&lt;=Supuestos!$C$34,Supuestos!$C$33,Supuestos!$C$35))</f>
        <v>220000</v>
      </c>
      <c r="W21" s="43" t="n">
        <f aca="false">IF(W14&lt;=Supuestos!$C$32,Supuestos!$C$31,IF(W14&lt;=Supuestos!$C$34,Supuestos!$C$33,Supuestos!$C$35))</f>
        <v>220000</v>
      </c>
      <c r="X21" s="43" t="n">
        <f aca="false">IF(X14&lt;=Supuestos!$C$32,Supuestos!$C$31,IF(X14&lt;=Supuestos!$C$34,Supuestos!$C$33,Supuestos!$C$35))</f>
        <v>220000</v>
      </c>
      <c r="Y21" s="43" t="n">
        <f aca="false">IF(Y14&lt;=Supuestos!$C$32,Supuestos!$C$31,IF(Y14&lt;=Supuestos!$C$34,Supuestos!$C$33,Supuestos!$C$35))</f>
        <v>220000</v>
      </c>
      <c r="Z21" s="43" t="n">
        <f aca="false">IF(Z14&lt;=Supuestos!$C$32,Supuestos!$C$31,IF(Z14&lt;=Supuestos!$C$34,Supuestos!$C$33,Supuestos!$C$35))</f>
        <v>220000</v>
      </c>
      <c r="AA21" s="43" t="n">
        <f aca="false">IF(AA14&lt;=Supuestos!$C$32,Supuestos!$C$31,IF(AA14&lt;=Supuestos!$C$34,Supuestos!$C$33,Supuestos!$C$35))</f>
        <v>220000</v>
      </c>
      <c r="AB21" s="43" t="n">
        <f aca="false">IF(AB14&lt;=Supuestos!$C$32,Supuestos!$C$31,IF(AB14&lt;=Supuestos!$C$34,Supuestos!$C$33,Supuestos!$C$35))</f>
        <v>220000</v>
      </c>
      <c r="AC21" s="43" t="n">
        <f aca="false">IF(AC14&lt;=Supuestos!$C$32,Supuestos!$C$31,IF(AC14&lt;=Supuestos!$C$34,Supuestos!$C$33,Supuestos!$C$35))</f>
        <v>220000</v>
      </c>
      <c r="AD21" s="43" t="n">
        <f aca="false">IF(AD14&lt;=Supuestos!$C$32,Supuestos!$C$31,IF(AD14&lt;=Supuestos!$C$34,Supuestos!$C$33,Supuestos!$C$35))</f>
        <v>220000</v>
      </c>
      <c r="AE21" s="43" t="n">
        <f aca="false">IF(AE14&lt;=Supuestos!$C$32,Supuestos!$C$31,IF(AE14&lt;=Supuestos!$C$34,Supuestos!$C$33,Supuestos!$C$35))</f>
        <v>220000</v>
      </c>
      <c r="AF21" s="43" t="n">
        <f aca="false">IF(AF14&lt;=Supuestos!$C$32,Supuestos!$C$31,IF(AF14&lt;=Supuestos!$C$34,Supuestos!$C$33,Supuestos!$C$35))</f>
        <v>220000</v>
      </c>
      <c r="AG21" s="43" t="n">
        <f aca="false">IF(AG14&lt;=Supuestos!$C$32,Supuestos!$C$31,IF(AG14&lt;=Supuestos!$C$34,Supuestos!$C$33,Supuestos!$C$35))</f>
        <v>220000</v>
      </c>
      <c r="AH21" s="43" t="n">
        <f aca="false">IF(AH14&lt;=Supuestos!$C$32,Supuestos!$C$31,IF(AH14&lt;=Supuestos!$C$34,Supuestos!$C$33,Supuestos!$C$35))</f>
        <v>220000</v>
      </c>
      <c r="AI21" s="43" t="n">
        <f aca="false">IF(AI14&lt;=Supuestos!$C$32,Supuestos!$C$31,IF(AI14&lt;=Supuestos!$C$34,Supuestos!$C$33,Supuestos!$C$35))</f>
        <v>220000</v>
      </c>
      <c r="AJ21" s="43" t="n">
        <f aca="false">IF(AJ14&lt;=Supuestos!$C$32,Supuestos!$C$31,IF(AJ14&lt;=Supuestos!$C$34,Supuestos!$C$33,Supuestos!$C$35))</f>
        <v>220000</v>
      </c>
      <c r="AK21" s="43" t="n">
        <f aca="false">IF(AK14&lt;=Supuestos!$C$32,Supuestos!$C$31,IF(AK14&lt;=Supuestos!$C$34,Supuestos!$C$33,Supuestos!$C$35))</f>
        <v>220000</v>
      </c>
      <c r="AL21" s="43" t="n">
        <f aca="false">IF(AL14&lt;=Supuestos!$C$32,Supuestos!$C$31,IF(AL14&lt;=Supuestos!$C$34,Supuestos!$C$33,Supuestos!$C$35))</f>
        <v>220000</v>
      </c>
      <c r="AM21" s="43" t="n">
        <f aca="false">IF(AM14&lt;=Supuestos!$C$32,Supuestos!$C$31,IF(AM14&lt;=Supuestos!$C$34,Supuestos!$C$33,Supuestos!$C$35))</f>
        <v>450000</v>
      </c>
      <c r="AN21" s="43" t="n">
        <f aca="false">IF(AN14&lt;=Supuestos!$C$32,Supuestos!$C$31,IF(AN14&lt;=Supuestos!$C$34,Supuestos!$C$33,Supuestos!$C$35))</f>
        <v>450000</v>
      </c>
      <c r="AO21" s="43" t="n">
        <f aca="false">IF(AO14&lt;=Supuestos!$C$32,Supuestos!$C$31,IF(AO14&lt;=Supuestos!$C$34,Supuestos!$C$33,Supuestos!$C$35))</f>
        <v>450000</v>
      </c>
      <c r="AP21" s="43" t="n">
        <f aca="false">IF(AP14&lt;=Supuestos!$C$32,Supuestos!$C$31,IF(AP14&lt;=Supuestos!$C$34,Supuestos!$C$33,Supuestos!$C$35))</f>
        <v>450000</v>
      </c>
      <c r="AQ21" s="43" t="n">
        <f aca="false">IF(AQ14&lt;=Supuestos!$C$32,Supuestos!$C$31,IF(AQ14&lt;=Supuestos!$C$34,Supuestos!$C$33,Supuestos!$C$35))</f>
        <v>450000</v>
      </c>
      <c r="AR21" s="43" t="n">
        <f aca="false">IF(AR14&lt;=Supuestos!$C$32,Supuestos!$C$31,IF(AR14&lt;=Supuestos!$C$34,Supuestos!$C$33,Supuestos!$C$35))</f>
        <v>450000</v>
      </c>
      <c r="AS21" s="43" t="n">
        <f aca="false">IF(AS14&lt;=Supuestos!$C$32,Supuestos!$C$31,IF(AS14&lt;=Supuestos!$C$34,Supuestos!$C$33,Supuestos!$C$35))</f>
        <v>450000</v>
      </c>
      <c r="AT21" s="43" t="n">
        <f aca="false">IF(AT14&lt;=Supuestos!$C$32,Supuestos!$C$31,IF(AT14&lt;=Supuestos!$C$34,Supuestos!$C$33,Supuestos!$C$35))</f>
        <v>450000</v>
      </c>
      <c r="AU21" s="43" t="n">
        <f aca="false">IF(AU14&lt;=Supuestos!$C$32,Supuestos!$C$31,IF(AU14&lt;=Supuestos!$C$34,Supuestos!$C$33,Supuestos!$C$35))</f>
        <v>450000</v>
      </c>
      <c r="AV21" s="43" t="n">
        <f aca="false">IF(AV14&lt;=Supuestos!$C$32,Supuestos!$C$31,IF(AV14&lt;=Supuestos!$C$34,Supuestos!$C$33,Supuestos!$C$35))</f>
        <v>450000</v>
      </c>
      <c r="AW21" s="43" t="n">
        <f aca="false">IF(AW14&lt;=Supuestos!$C$32,Supuestos!$C$31,IF(AW14&lt;=Supuestos!$C$34,Supuestos!$C$33,Supuestos!$C$35))</f>
        <v>450000</v>
      </c>
      <c r="AX21" s="43" t="n">
        <f aca="false">IF(AX14&lt;=Supuestos!$C$32,Supuestos!$C$31,IF(AX14&lt;=Supuestos!$C$34,Supuestos!$C$33,Supuestos!$C$35))</f>
        <v>450000</v>
      </c>
      <c r="AY21" s="43" t="n">
        <f aca="false">IF(AY14&lt;=Supuestos!$C$32,Supuestos!$C$31,IF(AY14&lt;=Supuestos!$C$34,Supuestos!$C$33,Supuestos!$C$35))</f>
        <v>450000</v>
      </c>
      <c r="AZ21" s="43" t="n">
        <f aca="false">IF(AZ14&lt;=Supuestos!$C$32,Supuestos!$C$31,IF(AZ14&lt;=Supuestos!$C$34,Supuestos!$C$33,Supuestos!$C$35))</f>
        <v>450000</v>
      </c>
      <c r="BA21" s="43" t="n">
        <f aca="false">IF(BA14&lt;=Supuestos!$C$32,Supuestos!$C$31,IF(BA14&lt;=Supuestos!$C$34,Supuestos!$C$33,Supuestos!$C$35))</f>
        <v>450000</v>
      </c>
      <c r="BB21" s="43" t="n">
        <f aca="false">IF(BB14&lt;=Supuestos!$C$32,Supuestos!$C$31,IF(BB14&lt;=Supuestos!$C$34,Supuestos!$C$33,Supuestos!$C$35))</f>
        <v>450000</v>
      </c>
      <c r="BC21" s="43" t="n">
        <f aca="false">IF(BC14&lt;=Supuestos!$C$32,Supuestos!$C$31,IF(BC14&lt;=Supuestos!$C$34,Supuestos!$C$33,Supuestos!$C$35))</f>
        <v>450000</v>
      </c>
      <c r="BD21" s="43" t="n">
        <f aca="false">IF(BD14&lt;=Supuestos!$C$32,Supuestos!$C$31,IF(BD14&lt;=Supuestos!$C$34,Supuestos!$C$33,Supuestos!$C$35))</f>
        <v>450000</v>
      </c>
      <c r="BE21" s="43" t="n">
        <f aca="false">IF(BE14&lt;=Supuestos!$C$32,Supuestos!$C$31,IF(BE14&lt;=Supuestos!$C$34,Supuestos!$C$33,Supuestos!$C$35))</f>
        <v>450000</v>
      </c>
      <c r="BF21" s="43" t="n">
        <f aca="false">IF(BF14&lt;=Supuestos!$C$32,Supuestos!$C$31,IF(BF14&lt;=Supuestos!$C$34,Supuestos!$C$33,Supuestos!$C$35))</f>
        <v>450000</v>
      </c>
      <c r="BG21" s="43" t="n">
        <f aca="false">IF(BG14&lt;=Supuestos!$C$32,Supuestos!$C$31,IF(BG14&lt;=Supuestos!$C$34,Supuestos!$C$33,Supuestos!$C$35))</f>
        <v>450000</v>
      </c>
      <c r="BH21" s="43" t="n">
        <f aca="false">IF(BH14&lt;=Supuestos!$C$32,Supuestos!$C$31,IF(BH14&lt;=Supuestos!$C$34,Supuestos!$C$33,Supuestos!$C$35))</f>
        <v>450000</v>
      </c>
      <c r="BI21" s="43" t="n">
        <f aca="false">IF(BI14&lt;=Supuestos!$C$32,Supuestos!$C$31,IF(BI14&lt;=Supuestos!$C$34,Supuestos!$C$33,Supuestos!$C$35))</f>
        <v>450000</v>
      </c>
      <c r="BJ21" s="43" t="n">
        <f aca="false">IF(BJ14&lt;=Supuestos!$C$32,Supuestos!$C$31,IF(BJ14&lt;=Supuestos!$C$34,Supuestos!$C$33,Supuestos!$C$35))</f>
        <v>450000</v>
      </c>
    </row>
    <row r="22" customFormat="false" ht="15" hidden="false" customHeight="true" outlineLevel="0" collapsed="false">
      <c r="A22" s="16" t="s">
        <v>250</v>
      </c>
      <c r="B22" s="7" t="s">
        <v>146</v>
      </c>
      <c r="C22" s="35" t="n">
        <f aca="false">SUM(C19:C21)</f>
        <v>232230.106</v>
      </c>
      <c r="D22" s="35" t="n">
        <f aca="false">SUM(D19:D21)</f>
        <v>238352.5</v>
      </c>
      <c r="E22" s="35" t="n">
        <f aca="false">SUM(E19:E21)</f>
        <v>250582.606</v>
      </c>
      <c r="F22" s="35" t="n">
        <f aca="false">SUM(F19:F21)</f>
        <v>262827.394</v>
      </c>
      <c r="G22" s="35" t="n">
        <f aca="false">SUM(G19:G21)</f>
        <v>275057.5</v>
      </c>
      <c r="H22" s="35" t="n">
        <f aca="false">SUM(H19:H21)</f>
        <v>287287.606</v>
      </c>
      <c r="I22" s="35" t="n">
        <f aca="false">SUM(I19:I21)</f>
        <v>299532.394</v>
      </c>
      <c r="J22" s="35" t="n">
        <f aca="false">SUM(J19:J21)</f>
        <v>317884.894</v>
      </c>
      <c r="K22" s="35" t="n">
        <f aca="false">SUM(K19:K21)</f>
        <v>330115</v>
      </c>
      <c r="L22" s="35" t="n">
        <f aca="false">SUM(L19:L21)</f>
        <v>342345.106</v>
      </c>
      <c r="M22" s="35" t="n">
        <f aca="false">SUM(M19:M21)</f>
        <v>354589.894</v>
      </c>
      <c r="N22" s="35" t="n">
        <f aca="false">SUM(N19:N21)</f>
        <v>366820</v>
      </c>
      <c r="O22" s="35" t="n">
        <f aca="false">SUM(O19:O21)</f>
        <v>393431.125</v>
      </c>
      <c r="P22" s="35" t="n">
        <f aca="false">SUM(P19:P21)</f>
        <v>412701.25</v>
      </c>
      <c r="Q22" s="35" t="n">
        <f aca="false">SUM(Q19:Q21)</f>
        <v>431971.375</v>
      </c>
      <c r="R22" s="35" t="n">
        <f aca="false">SUM(R19:R21)</f>
        <v>451241.5</v>
      </c>
      <c r="S22" s="35" t="n">
        <f aca="false">SUM(S19:S21)</f>
        <v>470511.625</v>
      </c>
      <c r="T22" s="35" t="n">
        <f aca="false">SUM(T19:T21)</f>
        <v>489781.75</v>
      </c>
      <c r="U22" s="35" t="n">
        <f aca="false">SUM(U19:U21)</f>
        <v>509051.875</v>
      </c>
      <c r="V22" s="35" t="n">
        <f aca="false">SUM(V19:V21)</f>
        <v>528322</v>
      </c>
      <c r="W22" s="35" t="n">
        <f aca="false">SUM(W19:W21)</f>
        <v>547592.125</v>
      </c>
      <c r="X22" s="35" t="n">
        <f aca="false">SUM(X19:X21)</f>
        <v>566862.25</v>
      </c>
      <c r="Y22" s="35" t="n">
        <f aca="false">SUM(Y19:Y21)</f>
        <v>586132.375</v>
      </c>
      <c r="Z22" s="35" t="n">
        <f aca="false">SUM(Z19:Z21)</f>
        <v>605402.5</v>
      </c>
      <c r="AA22" s="35" t="n">
        <f aca="false">SUM(AA19:AA21)</f>
        <v>658395.34375</v>
      </c>
      <c r="AB22" s="35" t="n">
        <f aca="false">SUM(AB19:AB21)</f>
        <v>692118.0625</v>
      </c>
      <c r="AC22" s="35" t="n">
        <f aca="false">SUM(AC19:AC21)</f>
        <v>725840.78125</v>
      </c>
      <c r="AD22" s="35" t="n">
        <f aca="false">SUM(AD19:AD21)</f>
        <v>759563.5</v>
      </c>
      <c r="AE22" s="35" t="n">
        <f aca="false">SUM(AE19:AE21)</f>
        <v>793286.21875</v>
      </c>
      <c r="AF22" s="35" t="n">
        <f aca="false">SUM(AF19:AF21)</f>
        <v>827008.9375</v>
      </c>
      <c r="AG22" s="35" t="n">
        <f aca="false">SUM(AG19:AG21)</f>
        <v>860731.65625</v>
      </c>
      <c r="AH22" s="35" t="n">
        <f aca="false">SUM(AH19:AH21)</f>
        <v>894454.375</v>
      </c>
      <c r="AI22" s="35" t="n">
        <f aca="false">SUM(AI19:AI21)</f>
        <v>928177.09375</v>
      </c>
      <c r="AJ22" s="35" t="n">
        <f aca="false">SUM(AJ19:AJ21)</f>
        <v>961899.8125</v>
      </c>
      <c r="AK22" s="35" t="n">
        <f aca="false">SUM(AK19:AK21)</f>
        <v>995622.53125</v>
      </c>
      <c r="AL22" s="35" t="n">
        <f aca="false">SUM(AL19:AL21)</f>
        <v>1029345.25</v>
      </c>
      <c r="AM22" s="35" t="n">
        <f aca="false">SUM(AM19:AM21)</f>
        <v>1335221.3671875</v>
      </c>
      <c r="AN22" s="35" t="n">
        <f aca="false">SUM(AN19:AN21)</f>
        <v>1370630.221875</v>
      </c>
      <c r="AO22" s="35" t="n">
        <f aca="false">SUM(AO19:AO21)</f>
        <v>1406039.0765625</v>
      </c>
      <c r="AP22" s="35" t="n">
        <f aca="false">SUM(AP19:AP21)</f>
        <v>1441447.93125</v>
      </c>
      <c r="AQ22" s="35" t="n">
        <f aca="false">SUM(AQ19:AQ21)</f>
        <v>1476856.7859375</v>
      </c>
      <c r="AR22" s="35" t="n">
        <f aca="false">SUM(AR19:AR21)</f>
        <v>1512265.640625</v>
      </c>
      <c r="AS22" s="35" t="n">
        <f aca="false">SUM(AS19:AS21)</f>
        <v>1547674.4953125</v>
      </c>
      <c r="AT22" s="35" t="n">
        <f aca="false">SUM(AT19:AT21)</f>
        <v>1583083.35</v>
      </c>
      <c r="AU22" s="35" t="n">
        <f aca="false">SUM(AU19:AU21)</f>
        <v>1618492.2046875</v>
      </c>
      <c r="AV22" s="35" t="n">
        <f aca="false">SUM(AV19:AV21)</f>
        <v>1653901.059375</v>
      </c>
      <c r="AW22" s="35" t="n">
        <f aca="false">SUM(AW19:AW21)</f>
        <v>1689309.9140625</v>
      </c>
      <c r="AX22" s="35" t="n">
        <f aca="false">SUM(AX19:AX21)</f>
        <v>1724718.76875</v>
      </c>
      <c r="AY22" s="35" t="n">
        <f aca="false">SUM(AY19:AY21)</f>
        <v>1825634.00460938</v>
      </c>
      <c r="AZ22" s="35" t="n">
        <f aca="false">SUM(AZ19:AZ21)</f>
        <v>1862813.30203125</v>
      </c>
      <c r="BA22" s="35" t="n">
        <f aca="false">SUM(BA19:BA21)</f>
        <v>1899992.59945313</v>
      </c>
      <c r="BB22" s="35" t="n">
        <f aca="false">SUM(BB19:BB21)</f>
        <v>1937171.896875</v>
      </c>
      <c r="BC22" s="35" t="n">
        <f aca="false">SUM(BC19:BC21)</f>
        <v>1974351.19429688</v>
      </c>
      <c r="BD22" s="35" t="n">
        <f aca="false">SUM(BD19:BD21)</f>
        <v>2011530.49171875</v>
      </c>
      <c r="BE22" s="35" t="n">
        <f aca="false">SUM(BE19:BE21)</f>
        <v>2048709.78914063</v>
      </c>
      <c r="BF22" s="35" t="n">
        <f aca="false">SUM(BF19:BF21)</f>
        <v>2085889.0865625</v>
      </c>
      <c r="BG22" s="35" t="n">
        <f aca="false">SUM(BG19:BG21)</f>
        <v>2123068.38398438</v>
      </c>
      <c r="BH22" s="35" t="n">
        <f aca="false">SUM(BH19:BH21)</f>
        <v>2160247.68140625</v>
      </c>
      <c r="BI22" s="35" t="n">
        <f aca="false">SUM(BI19:BI21)</f>
        <v>2197426.97882813</v>
      </c>
      <c r="BJ22" s="35" t="n">
        <f aca="false">SUM(BJ19:BJ21)</f>
        <v>2234606.27625</v>
      </c>
    </row>
    <row r="23" customFormat="false" ht="15" hidden="false" customHeight="true" outlineLevel="0" collapsed="false">
      <c r="A23" s="16" t="s">
        <v>194</v>
      </c>
      <c r="B23" s="7" t="s">
        <v>146</v>
      </c>
      <c r="C23" s="35" t="n">
        <f aca="false">C18-C22</f>
        <v>-32809.906</v>
      </c>
      <c r="D23" s="35" t="n">
        <f aca="false">D18-D22</f>
        <v>60897.5</v>
      </c>
      <c r="E23" s="35" t="n">
        <f aca="false">E18-E22</f>
        <v>248087.594</v>
      </c>
      <c r="F23" s="35" t="n">
        <f aca="false">F18-F22</f>
        <v>435502.406</v>
      </c>
      <c r="G23" s="35" t="n">
        <f aca="false">G18-G22</f>
        <v>622692.5</v>
      </c>
      <c r="H23" s="35" t="n">
        <f aca="false">H18-H22</f>
        <v>809882.594</v>
      </c>
      <c r="I23" s="35" t="n">
        <f aca="false">I18-I22</f>
        <v>997297.406</v>
      </c>
      <c r="J23" s="35" t="n">
        <f aca="false">J18-J22</f>
        <v>1278194.906</v>
      </c>
      <c r="K23" s="35" t="n">
        <f aca="false">K18-K22</f>
        <v>1465385</v>
      </c>
      <c r="L23" s="35" t="n">
        <f aca="false">L18-L22</f>
        <v>1652575.094</v>
      </c>
      <c r="M23" s="35" t="n">
        <f aca="false">M18-M22</f>
        <v>1839989.906</v>
      </c>
      <c r="N23" s="35" t="n">
        <f aca="false">N18-N22</f>
        <v>2027180</v>
      </c>
      <c r="O23" s="35" t="n">
        <f aca="false">O18-O22</f>
        <v>2434481.375</v>
      </c>
      <c r="P23" s="35" t="n">
        <f aca="false">P18-P22</f>
        <v>2729423.75</v>
      </c>
      <c r="Q23" s="35" t="n">
        <f aca="false">Q18-Q22</f>
        <v>3024366.125</v>
      </c>
      <c r="R23" s="35" t="n">
        <f aca="false">R18-R22</f>
        <v>3319308.5</v>
      </c>
      <c r="S23" s="35" t="n">
        <f aca="false">S18-S22</f>
        <v>3614250.875</v>
      </c>
      <c r="T23" s="35" t="n">
        <f aca="false">T18-T22</f>
        <v>3909193.25</v>
      </c>
      <c r="U23" s="35" t="n">
        <f aca="false">U18-U22</f>
        <v>4204135.625</v>
      </c>
      <c r="V23" s="35" t="n">
        <f aca="false">V18-V22</f>
        <v>4499078</v>
      </c>
      <c r="W23" s="35" t="n">
        <f aca="false">W18-W22</f>
        <v>4794020.375</v>
      </c>
      <c r="X23" s="35" t="n">
        <f aca="false">X18-X22</f>
        <v>5088962.75</v>
      </c>
      <c r="Y23" s="35" t="n">
        <f aca="false">Y18-Y22</f>
        <v>5383905.125</v>
      </c>
      <c r="Z23" s="35" t="n">
        <f aca="false">Z18-Z22</f>
        <v>5678847.5</v>
      </c>
      <c r="AA23" s="35" t="n">
        <f aca="false">AA18-AA22</f>
        <v>6489939.03125</v>
      </c>
      <c r="AB23" s="35" t="n">
        <f aca="false">AB18-AB22</f>
        <v>7006088.1875</v>
      </c>
      <c r="AC23" s="35" t="n">
        <f aca="false">AC18-AC22</f>
        <v>7522237.34375</v>
      </c>
      <c r="AD23" s="35" t="n">
        <f aca="false">AD18-AD22</f>
        <v>8038386.5</v>
      </c>
      <c r="AE23" s="35" t="n">
        <f aca="false">AE18-AE22</f>
        <v>8554535.65625</v>
      </c>
      <c r="AF23" s="35" t="n">
        <f aca="false">AF18-AF22</f>
        <v>9070684.8125</v>
      </c>
      <c r="AG23" s="35" t="n">
        <f aca="false">AG18-AG22</f>
        <v>9586833.96875</v>
      </c>
      <c r="AH23" s="35" t="n">
        <f aca="false">AH18-AH22</f>
        <v>10102983.125</v>
      </c>
      <c r="AI23" s="35" t="n">
        <f aca="false">AI18-AI22</f>
        <v>10619132.28125</v>
      </c>
      <c r="AJ23" s="35" t="n">
        <f aca="false">AJ18-AJ22</f>
        <v>11135281.4375</v>
      </c>
      <c r="AK23" s="35" t="n">
        <f aca="false">AK18-AK22</f>
        <v>11651430.59375</v>
      </c>
      <c r="AL23" s="35" t="n">
        <f aca="false">AL18-AL22</f>
        <v>12167579.75</v>
      </c>
      <c r="AM23" s="35" t="n">
        <f aca="false">AM18-AM22</f>
        <v>13098915.3515625</v>
      </c>
      <c r="AN23" s="35" t="n">
        <f aca="false">AN18-AN22</f>
        <v>13640871.965625</v>
      </c>
      <c r="AO23" s="35" t="n">
        <f aca="false">AO18-AO22</f>
        <v>14182828.5796875</v>
      </c>
      <c r="AP23" s="35" t="n">
        <f aca="false">AP18-AP22</f>
        <v>14724785.19375</v>
      </c>
      <c r="AQ23" s="35" t="n">
        <f aca="false">AQ18-AQ22</f>
        <v>15266741.8078125</v>
      </c>
      <c r="AR23" s="35" t="n">
        <f aca="false">AR18-AR22</f>
        <v>15808698.421875</v>
      </c>
      <c r="AS23" s="35" t="n">
        <f aca="false">AS18-AS22</f>
        <v>16350655.0359375</v>
      </c>
      <c r="AT23" s="35" t="n">
        <f aca="false">AT18-AT22</f>
        <v>16892611.65</v>
      </c>
      <c r="AU23" s="35" t="n">
        <f aca="false">AU18-AU22</f>
        <v>17434568.2640625</v>
      </c>
      <c r="AV23" s="35" t="n">
        <f aca="false">AV18-AV22</f>
        <v>17976524.878125</v>
      </c>
      <c r="AW23" s="35" t="n">
        <f aca="false">AW18-AW22</f>
        <v>18518481.4921875</v>
      </c>
      <c r="AX23" s="35" t="n">
        <f aca="false">AX18-AX22</f>
        <v>19060438.10625</v>
      </c>
      <c r="AY23" s="35" t="n">
        <f aca="false">AY18-AY22</f>
        <v>20605014.4563281</v>
      </c>
      <c r="AZ23" s="35" t="n">
        <f aca="false">AZ18-AZ22</f>
        <v>21174068.9010938</v>
      </c>
      <c r="BA23" s="35" t="n">
        <f aca="false">BA18-BA22</f>
        <v>21743123.3458594</v>
      </c>
      <c r="BB23" s="35" t="n">
        <f aca="false">BB18-BB22</f>
        <v>22312177.790625</v>
      </c>
      <c r="BC23" s="35" t="n">
        <f aca="false">BC18-BC22</f>
        <v>22881232.2353906</v>
      </c>
      <c r="BD23" s="35" t="n">
        <f aca="false">BD18-BD22</f>
        <v>23450286.6801563</v>
      </c>
      <c r="BE23" s="35" t="n">
        <f aca="false">BE18-BE22</f>
        <v>24019341.1249219</v>
      </c>
      <c r="BF23" s="35" t="n">
        <f aca="false">BF18-BF22</f>
        <v>24588395.5696875</v>
      </c>
      <c r="BG23" s="35" t="n">
        <f aca="false">BG18-BG22</f>
        <v>25157450.0144531</v>
      </c>
      <c r="BH23" s="35" t="n">
        <f aca="false">BH18-BH22</f>
        <v>25726504.4592188</v>
      </c>
      <c r="BI23" s="35" t="n">
        <f aca="false">BI18-BI22</f>
        <v>26295558.9039844</v>
      </c>
      <c r="BJ23" s="35" t="n">
        <f aca="false">BJ18-BJ22</f>
        <v>26864613.34875</v>
      </c>
    </row>
    <row r="25" customFormat="false" ht="15" hidden="false" customHeight="true" outlineLevel="0" collapsed="false">
      <c r="A25" s="28" t="s">
        <v>251</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row>
    <row r="26" customFormat="false" ht="15" hidden="false" customHeight="true" outlineLevel="0" collapsed="false">
      <c r="A26" s="10" t="s">
        <v>252</v>
      </c>
      <c r="B26" s="7" t="s">
        <v>115</v>
      </c>
      <c r="C26" s="44" t="n">
        <f aca="false">C14*Supuestos!$C$58/60</f>
        <v>1.666</v>
      </c>
      <c r="D26" s="44" t="n">
        <f aca="false">D14*Supuestos!$C$58/60</f>
        <v>2.5</v>
      </c>
      <c r="E26" s="44" t="n">
        <f aca="false">E14*Supuestos!$C$58/60</f>
        <v>4.166</v>
      </c>
      <c r="F26" s="44" t="n">
        <f aca="false">F14*Supuestos!$C$58/60</f>
        <v>5.834</v>
      </c>
      <c r="G26" s="44" t="n">
        <f aca="false">G14*Supuestos!$C$58/60</f>
        <v>7.5</v>
      </c>
      <c r="H26" s="44" t="n">
        <f aca="false">H14*Supuestos!$C$58/60</f>
        <v>9.166</v>
      </c>
      <c r="I26" s="44" t="n">
        <f aca="false">I14*Supuestos!$C$58/60</f>
        <v>10.834</v>
      </c>
      <c r="J26" s="44" t="n">
        <f aca="false">J14*Supuestos!$C$58/60</f>
        <v>13.334</v>
      </c>
      <c r="K26" s="44" t="n">
        <f aca="false">K14*Supuestos!$C$58/60</f>
        <v>15</v>
      </c>
      <c r="L26" s="44" t="n">
        <f aca="false">L14*Supuestos!$C$58/60</f>
        <v>16.666</v>
      </c>
      <c r="M26" s="44" t="n">
        <f aca="false">M14*Supuestos!$C$58/60</f>
        <v>18.334</v>
      </c>
      <c r="N26" s="44" t="n">
        <f aca="false">N14*Supuestos!$C$58/60</f>
        <v>20</v>
      </c>
      <c r="O26" s="44" t="n">
        <f aca="false">O14*Supuestos!$C$58/60</f>
        <v>22.5</v>
      </c>
      <c r="P26" s="44" t="n">
        <f aca="false">P14*Supuestos!$C$58/60</f>
        <v>25</v>
      </c>
      <c r="Q26" s="44" t="n">
        <f aca="false">Q14*Supuestos!$C$58/60</f>
        <v>27.5</v>
      </c>
      <c r="R26" s="44" t="n">
        <f aca="false">R14*Supuestos!$C$58/60</f>
        <v>30</v>
      </c>
      <c r="S26" s="44" t="n">
        <f aca="false">S14*Supuestos!$C$58/60</f>
        <v>32.5</v>
      </c>
      <c r="T26" s="44" t="n">
        <f aca="false">T14*Supuestos!$C$58/60</f>
        <v>35</v>
      </c>
      <c r="U26" s="44" t="n">
        <f aca="false">U14*Supuestos!$C$58/60</f>
        <v>37.5</v>
      </c>
      <c r="V26" s="44" t="n">
        <f aca="false">V14*Supuestos!$C$58/60</f>
        <v>40</v>
      </c>
      <c r="W26" s="44" t="n">
        <f aca="false">W14*Supuestos!$C$58/60</f>
        <v>42.5</v>
      </c>
      <c r="X26" s="44" t="n">
        <f aca="false">X14*Supuestos!$C$58/60</f>
        <v>45</v>
      </c>
      <c r="Y26" s="44" t="n">
        <f aca="false">Y14*Supuestos!$C$58/60</f>
        <v>47.5</v>
      </c>
      <c r="Z26" s="44" t="n">
        <f aca="false">Z14*Supuestos!$C$58/60</f>
        <v>50</v>
      </c>
      <c r="AA26" s="44" t="n">
        <f aca="false">AA14*Supuestos!$C$58/60</f>
        <v>54.1666666666667</v>
      </c>
      <c r="AB26" s="44" t="n">
        <f aca="false">AB14*Supuestos!$C$58/60</f>
        <v>58.3333333333333</v>
      </c>
      <c r="AC26" s="44" t="n">
        <f aca="false">AC14*Supuestos!$C$58/60</f>
        <v>62.5</v>
      </c>
      <c r="AD26" s="44" t="n">
        <f aca="false">AD14*Supuestos!$C$58/60</f>
        <v>66.6666666666667</v>
      </c>
      <c r="AE26" s="44" t="n">
        <f aca="false">AE14*Supuestos!$C$58/60</f>
        <v>70.8333333333333</v>
      </c>
      <c r="AF26" s="44" t="n">
        <f aca="false">AF14*Supuestos!$C$58/60</f>
        <v>75</v>
      </c>
      <c r="AG26" s="44" t="n">
        <f aca="false">AG14*Supuestos!$C$58/60</f>
        <v>79.1666666666667</v>
      </c>
      <c r="AH26" s="44" t="n">
        <f aca="false">AH14*Supuestos!$C$58/60</f>
        <v>83.3333333333333</v>
      </c>
      <c r="AI26" s="44" t="n">
        <f aca="false">AI14*Supuestos!$C$58/60</f>
        <v>87.5</v>
      </c>
      <c r="AJ26" s="44" t="n">
        <f aca="false">AJ14*Supuestos!$C$58/60</f>
        <v>91.6666666666667</v>
      </c>
      <c r="AK26" s="44" t="n">
        <f aca="false">AK14*Supuestos!$C$58/60</f>
        <v>95.8333333333333</v>
      </c>
      <c r="AL26" s="44" t="n">
        <f aca="false">AL14*Supuestos!$C$58/60</f>
        <v>100</v>
      </c>
      <c r="AM26" s="44" t="n">
        <f aca="false">AM14*Supuestos!$C$58/60</f>
        <v>104.166666666667</v>
      </c>
      <c r="AN26" s="44" t="n">
        <f aca="false">AN14*Supuestos!$C$58/60</f>
        <v>108.333333333333</v>
      </c>
      <c r="AO26" s="44" t="n">
        <f aca="false">AO14*Supuestos!$C$58/60</f>
        <v>112.5</v>
      </c>
      <c r="AP26" s="44" t="n">
        <f aca="false">AP14*Supuestos!$C$58/60</f>
        <v>116.666666666667</v>
      </c>
      <c r="AQ26" s="44" t="n">
        <f aca="false">AQ14*Supuestos!$C$58/60</f>
        <v>120.833333333333</v>
      </c>
      <c r="AR26" s="44" t="n">
        <f aca="false">AR14*Supuestos!$C$58/60</f>
        <v>125</v>
      </c>
      <c r="AS26" s="44" t="n">
        <f aca="false">AS14*Supuestos!$C$58/60</f>
        <v>129.166666666667</v>
      </c>
      <c r="AT26" s="44" t="n">
        <f aca="false">AT14*Supuestos!$C$58/60</f>
        <v>133.333333333333</v>
      </c>
      <c r="AU26" s="44" t="n">
        <f aca="false">AU14*Supuestos!$C$58/60</f>
        <v>137.5</v>
      </c>
      <c r="AV26" s="44" t="n">
        <f aca="false">AV14*Supuestos!$C$58/60</f>
        <v>141.666666666667</v>
      </c>
      <c r="AW26" s="44" t="n">
        <f aca="false">AW14*Supuestos!$C$58/60</f>
        <v>145.833333333333</v>
      </c>
      <c r="AX26" s="44" t="n">
        <f aca="false">AX14*Supuestos!$C$58/60</f>
        <v>150</v>
      </c>
      <c r="AY26" s="44" t="n">
        <f aca="false">AY14*Supuestos!$C$58/60</f>
        <v>154.166666666667</v>
      </c>
      <c r="AZ26" s="44" t="n">
        <f aca="false">AZ14*Supuestos!$C$58/60</f>
        <v>158.333333333333</v>
      </c>
      <c r="BA26" s="44" t="n">
        <f aca="false">BA14*Supuestos!$C$58/60</f>
        <v>162.5</v>
      </c>
      <c r="BB26" s="44" t="n">
        <f aca="false">BB14*Supuestos!$C$58/60</f>
        <v>166.666666666667</v>
      </c>
      <c r="BC26" s="44" t="n">
        <f aca="false">BC14*Supuestos!$C$58/60</f>
        <v>170.833333333333</v>
      </c>
      <c r="BD26" s="44" t="n">
        <f aca="false">BD14*Supuestos!$C$58/60</f>
        <v>175</v>
      </c>
      <c r="BE26" s="44" t="n">
        <f aca="false">BE14*Supuestos!$C$58/60</f>
        <v>179.166666666667</v>
      </c>
      <c r="BF26" s="44" t="n">
        <f aca="false">BF14*Supuestos!$C$58/60</f>
        <v>183.333333333333</v>
      </c>
      <c r="BG26" s="44" t="n">
        <f aca="false">BG14*Supuestos!$C$58/60</f>
        <v>187.5</v>
      </c>
      <c r="BH26" s="44" t="n">
        <f aca="false">BH14*Supuestos!$C$58/60</f>
        <v>191.666666666667</v>
      </c>
      <c r="BI26" s="44" t="n">
        <f aca="false">BI14*Supuestos!$C$58/60</f>
        <v>195.833333333333</v>
      </c>
      <c r="BJ26" s="44" t="n">
        <f aca="false">BJ14*Supuestos!$C$58/60</f>
        <v>200</v>
      </c>
    </row>
    <row r="27" customFormat="false" ht="15" hidden="false" customHeight="true" outlineLevel="0" collapsed="false">
      <c r="A27" s="10" t="s">
        <v>253</v>
      </c>
      <c r="B27" s="7" t="s">
        <v>115</v>
      </c>
      <c r="C27" s="44" t="n">
        <f aca="false">C13*Supuestos!$C$59</f>
        <v>8.4966</v>
      </c>
      <c r="D27" s="44" t="n">
        <f aca="false">D13*Supuestos!$C$59</f>
        <v>4.67823</v>
      </c>
      <c r="E27" s="44" t="n">
        <f aca="false">E13*Supuestos!$C$59</f>
        <v>9.1341</v>
      </c>
      <c r="F27" s="44" t="n">
        <f aca="false">F13*Supuestos!$C$59</f>
        <v>9.56913</v>
      </c>
      <c r="G27" s="44" t="n">
        <f aca="false">G13*Supuestos!$C$59</f>
        <v>9.98427</v>
      </c>
      <c r="H27" s="44" t="n">
        <f aca="false">H13*Supuestos!$C$59</f>
        <v>10.4091</v>
      </c>
      <c r="I27" s="44" t="n">
        <f aca="false">I13*Supuestos!$C$59</f>
        <v>10.84413</v>
      </c>
      <c r="J27" s="44" t="n">
        <f aca="false">J13*Supuestos!$C$59</f>
        <v>15.51267</v>
      </c>
      <c r="K27" s="44" t="n">
        <f aca="false">K13*Supuestos!$C$59</f>
        <v>11.89677</v>
      </c>
      <c r="L27" s="44" t="n">
        <f aca="false">L13*Supuestos!$C$59</f>
        <v>12.3216</v>
      </c>
      <c r="M27" s="44" t="n">
        <f aca="false">M13*Supuestos!$C$59</f>
        <v>12.75663</v>
      </c>
      <c r="N27" s="44" t="n">
        <f aca="false">N13*Supuestos!$C$59</f>
        <v>13.17177</v>
      </c>
      <c r="O27" s="44" t="n">
        <f aca="false">O13*Supuestos!$C$59</f>
        <v>17.85</v>
      </c>
      <c r="P27" s="44" t="n">
        <f aca="false">P13*Supuestos!$C$59</f>
        <v>18.4875</v>
      </c>
      <c r="Q27" s="44" t="n">
        <f aca="false">Q13*Supuestos!$C$59</f>
        <v>19.125</v>
      </c>
      <c r="R27" s="44" t="n">
        <f aca="false">R13*Supuestos!$C$59</f>
        <v>19.7625</v>
      </c>
      <c r="S27" s="44" t="n">
        <f aca="false">S13*Supuestos!$C$59</f>
        <v>20.4</v>
      </c>
      <c r="T27" s="44" t="n">
        <f aca="false">T13*Supuestos!$C$59</f>
        <v>21.0375</v>
      </c>
      <c r="U27" s="44" t="n">
        <f aca="false">U13*Supuestos!$C$59</f>
        <v>21.675</v>
      </c>
      <c r="V27" s="44" t="n">
        <f aca="false">V13*Supuestos!$C$59</f>
        <v>22.3125</v>
      </c>
      <c r="W27" s="44" t="n">
        <f aca="false">W13*Supuestos!$C$59</f>
        <v>22.95</v>
      </c>
      <c r="X27" s="44" t="n">
        <f aca="false">X13*Supuestos!$C$59</f>
        <v>23.5875</v>
      </c>
      <c r="Y27" s="44" t="n">
        <f aca="false">Y13*Supuestos!$C$59</f>
        <v>24.225</v>
      </c>
      <c r="Z27" s="44" t="n">
        <f aca="false">Z13*Supuestos!$C$59</f>
        <v>24.8625</v>
      </c>
      <c r="AA27" s="44" t="n">
        <f aca="false">AA13*Supuestos!$C$59</f>
        <v>34</v>
      </c>
      <c r="AB27" s="44" t="n">
        <f aca="false">AB13*Supuestos!$C$59</f>
        <v>35.0625</v>
      </c>
      <c r="AC27" s="44" t="n">
        <f aca="false">AC13*Supuestos!$C$59</f>
        <v>36.125</v>
      </c>
      <c r="AD27" s="44" t="n">
        <f aca="false">AD13*Supuestos!$C$59</f>
        <v>37.1875</v>
      </c>
      <c r="AE27" s="44" t="n">
        <f aca="false">AE13*Supuestos!$C$59</f>
        <v>38.25</v>
      </c>
      <c r="AF27" s="44" t="n">
        <f aca="false">AF13*Supuestos!$C$59</f>
        <v>39.3125</v>
      </c>
      <c r="AG27" s="44" t="n">
        <f aca="false">AG13*Supuestos!$C$59</f>
        <v>40.375</v>
      </c>
      <c r="AH27" s="44" t="n">
        <f aca="false">AH13*Supuestos!$C$59</f>
        <v>41.4375</v>
      </c>
      <c r="AI27" s="44" t="n">
        <f aca="false">AI13*Supuestos!$C$59</f>
        <v>42.5</v>
      </c>
      <c r="AJ27" s="44" t="n">
        <f aca="false">AJ13*Supuestos!$C$59</f>
        <v>43.5625</v>
      </c>
      <c r="AK27" s="44" t="n">
        <f aca="false">AK13*Supuestos!$C$59</f>
        <v>44.625</v>
      </c>
      <c r="AL27" s="44" t="n">
        <f aca="false">AL13*Supuestos!$C$59</f>
        <v>45.6875</v>
      </c>
      <c r="AM27" s="44" t="n">
        <f aca="false">AM13*Supuestos!$C$59</f>
        <v>46.75</v>
      </c>
      <c r="AN27" s="44" t="n">
        <f aca="false">AN13*Supuestos!$C$59</f>
        <v>47.8125</v>
      </c>
      <c r="AO27" s="44" t="n">
        <f aca="false">AO13*Supuestos!$C$59</f>
        <v>48.875</v>
      </c>
      <c r="AP27" s="44" t="n">
        <f aca="false">AP13*Supuestos!$C$59</f>
        <v>49.9375</v>
      </c>
      <c r="AQ27" s="44" t="n">
        <f aca="false">AQ13*Supuestos!$C$59</f>
        <v>51</v>
      </c>
      <c r="AR27" s="44" t="n">
        <f aca="false">AR13*Supuestos!$C$59</f>
        <v>52.0625</v>
      </c>
      <c r="AS27" s="44" t="n">
        <f aca="false">AS13*Supuestos!$C$59</f>
        <v>53.125</v>
      </c>
      <c r="AT27" s="44" t="n">
        <f aca="false">AT13*Supuestos!$C$59</f>
        <v>54.1875</v>
      </c>
      <c r="AU27" s="44" t="n">
        <f aca="false">AU13*Supuestos!$C$59</f>
        <v>55.25</v>
      </c>
      <c r="AV27" s="44" t="n">
        <f aca="false">AV13*Supuestos!$C$59</f>
        <v>56.3125</v>
      </c>
      <c r="AW27" s="44" t="n">
        <f aca="false">AW13*Supuestos!$C$59</f>
        <v>57.375</v>
      </c>
      <c r="AX27" s="44" t="n">
        <f aca="false">AX13*Supuestos!$C$59</f>
        <v>58.4375</v>
      </c>
      <c r="AY27" s="44" t="n">
        <f aca="false">AY13*Supuestos!$C$59</f>
        <v>59.5</v>
      </c>
      <c r="AZ27" s="44" t="n">
        <f aca="false">AZ13*Supuestos!$C$59</f>
        <v>60.5625</v>
      </c>
      <c r="BA27" s="44" t="n">
        <f aca="false">BA13*Supuestos!$C$59</f>
        <v>61.625</v>
      </c>
      <c r="BB27" s="44" t="n">
        <f aca="false">BB13*Supuestos!$C$59</f>
        <v>62.6875</v>
      </c>
      <c r="BC27" s="44" t="n">
        <f aca="false">BC13*Supuestos!$C$59</f>
        <v>63.75</v>
      </c>
      <c r="BD27" s="44" t="n">
        <f aca="false">BD13*Supuestos!$C$59</f>
        <v>64.8125</v>
      </c>
      <c r="BE27" s="44" t="n">
        <f aca="false">BE13*Supuestos!$C$59</f>
        <v>65.875</v>
      </c>
      <c r="BF27" s="44" t="n">
        <f aca="false">BF13*Supuestos!$C$59</f>
        <v>66.9375</v>
      </c>
      <c r="BG27" s="44" t="n">
        <f aca="false">BG13*Supuestos!$C$59</f>
        <v>68</v>
      </c>
      <c r="BH27" s="44" t="n">
        <f aca="false">BH13*Supuestos!$C$59</f>
        <v>69.0625</v>
      </c>
      <c r="BI27" s="44" t="n">
        <f aca="false">BI13*Supuestos!$C$59</f>
        <v>70.125</v>
      </c>
      <c r="BJ27" s="44" t="n">
        <f aca="false">BJ13*Supuestos!$C$59</f>
        <v>71.1875</v>
      </c>
    </row>
    <row r="28" customFormat="false" ht="15" hidden="false" customHeight="true" outlineLevel="0" collapsed="false">
      <c r="A28" s="10" t="s">
        <v>254</v>
      </c>
      <c r="B28" s="7" t="s">
        <v>115</v>
      </c>
      <c r="C28" s="44" t="n">
        <f aca="false">C13*Supuestos!$C$60</f>
        <v>19.992</v>
      </c>
      <c r="D28" s="44" t="n">
        <f aca="false">D13*Supuestos!$C$60</f>
        <v>11.0076</v>
      </c>
      <c r="E28" s="44" t="n">
        <f aca="false">E13*Supuestos!$C$60</f>
        <v>21.492</v>
      </c>
      <c r="F28" s="44" t="n">
        <f aca="false">F13*Supuestos!$C$60</f>
        <v>22.5156</v>
      </c>
      <c r="G28" s="44" t="n">
        <f aca="false">G13*Supuestos!$C$60</f>
        <v>23.4924</v>
      </c>
      <c r="H28" s="44" t="n">
        <f aca="false">H13*Supuestos!$C$60</f>
        <v>24.492</v>
      </c>
      <c r="I28" s="44" t="n">
        <f aca="false">I13*Supuestos!$C$60</f>
        <v>25.5156</v>
      </c>
      <c r="J28" s="44" t="n">
        <f aca="false">J13*Supuestos!$C$60</f>
        <v>36.5004</v>
      </c>
      <c r="K28" s="44" t="n">
        <f aca="false">K13*Supuestos!$C$60</f>
        <v>27.9924</v>
      </c>
      <c r="L28" s="44" t="n">
        <f aca="false">L13*Supuestos!$C$60</f>
        <v>28.992</v>
      </c>
      <c r="M28" s="44" t="n">
        <f aca="false">M13*Supuestos!$C$60</f>
        <v>30.0156</v>
      </c>
      <c r="N28" s="44" t="n">
        <f aca="false">N13*Supuestos!$C$60</f>
        <v>30.9924</v>
      </c>
      <c r="O28" s="44" t="n">
        <f aca="false">O13*Supuestos!$C$60</f>
        <v>42</v>
      </c>
      <c r="P28" s="44" t="n">
        <f aca="false">P13*Supuestos!$C$60</f>
        <v>43.5</v>
      </c>
      <c r="Q28" s="44" t="n">
        <f aca="false">Q13*Supuestos!$C$60</f>
        <v>45</v>
      </c>
      <c r="R28" s="44" t="n">
        <f aca="false">R13*Supuestos!$C$60</f>
        <v>46.5</v>
      </c>
      <c r="S28" s="44" t="n">
        <f aca="false">S13*Supuestos!$C$60</f>
        <v>48</v>
      </c>
      <c r="T28" s="44" t="n">
        <f aca="false">T13*Supuestos!$C$60</f>
        <v>49.5</v>
      </c>
      <c r="U28" s="44" t="n">
        <f aca="false">U13*Supuestos!$C$60</f>
        <v>51</v>
      </c>
      <c r="V28" s="44" t="n">
        <f aca="false">V13*Supuestos!$C$60</f>
        <v>52.5</v>
      </c>
      <c r="W28" s="44" t="n">
        <f aca="false">W13*Supuestos!$C$60</f>
        <v>54</v>
      </c>
      <c r="X28" s="44" t="n">
        <f aca="false">X13*Supuestos!$C$60</f>
        <v>55.5</v>
      </c>
      <c r="Y28" s="44" t="n">
        <f aca="false">Y13*Supuestos!$C$60</f>
        <v>57</v>
      </c>
      <c r="Z28" s="44" t="n">
        <f aca="false">Z13*Supuestos!$C$60</f>
        <v>58.5</v>
      </c>
      <c r="AA28" s="44" t="n">
        <f aca="false">AA13*Supuestos!$C$60</f>
        <v>80</v>
      </c>
      <c r="AB28" s="44" t="n">
        <f aca="false">AB13*Supuestos!$C$60</f>
        <v>82.5</v>
      </c>
      <c r="AC28" s="44" t="n">
        <f aca="false">AC13*Supuestos!$C$60</f>
        <v>85</v>
      </c>
      <c r="AD28" s="44" t="n">
        <f aca="false">AD13*Supuestos!$C$60</f>
        <v>87.5</v>
      </c>
      <c r="AE28" s="44" t="n">
        <f aca="false">AE13*Supuestos!$C$60</f>
        <v>90</v>
      </c>
      <c r="AF28" s="44" t="n">
        <f aca="false">AF13*Supuestos!$C$60</f>
        <v>92.5</v>
      </c>
      <c r="AG28" s="44" t="n">
        <f aca="false">AG13*Supuestos!$C$60</f>
        <v>95</v>
      </c>
      <c r="AH28" s="44" t="n">
        <f aca="false">AH13*Supuestos!$C$60</f>
        <v>97.5</v>
      </c>
      <c r="AI28" s="44" t="n">
        <f aca="false">AI13*Supuestos!$C$60</f>
        <v>100</v>
      </c>
      <c r="AJ28" s="44" t="n">
        <f aca="false">AJ13*Supuestos!$C$60</f>
        <v>102.5</v>
      </c>
      <c r="AK28" s="44" t="n">
        <f aca="false">AK13*Supuestos!$C$60</f>
        <v>105</v>
      </c>
      <c r="AL28" s="44" t="n">
        <f aca="false">AL13*Supuestos!$C$60</f>
        <v>107.5</v>
      </c>
      <c r="AM28" s="44" t="n">
        <f aca="false">AM13*Supuestos!$C$60</f>
        <v>110</v>
      </c>
      <c r="AN28" s="44" t="n">
        <f aca="false">AN13*Supuestos!$C$60</f>
        <v>112.5</v>
      </c>
      <c r="AO28" s="44" t="n">
        <f aca="false">AO13*Supuestos!$C$60</f>
        <v>115</v>
      </c>
      <c r="AP28" s="44" t="n">
        <f aca="false">AP13*Supuestos!$C$60</f>
        <v>117.5</v>
      </c>
      <c r="AQ28" s="44" t="n">
        <f aca="false">AQ13*Supuestos!$C$60</f>
        <v>120</v>
      </c>
      <c r="AR28" s="44" t="n">
        <f aca="false">AR13*Supuestos!$C$60</f>
        <v>122.5</v>
      </c>
      <c r="AS28" s="44" t="n">
        <f aca="false">AS13*Supuestos!$C$60</f>
        <v>125</v>
      </c>
      <c r="AT28" s="44" t="n">
        <f aca="false">AT13*Supuestos!$C$60</f>
        <v>127.5</v>
      </c>
      <c r="AU28" s="44" t="n">
        <f aca="false">AU13*Supuestos!$C$60</f>
        <v>130</v>
      </c>
      <c r="AV28" s="44" t="n">
        <f aca="false">AV13*Supuestos!$C$60</f>
        <v>132.5</v>
      </c>
      <c r="AW28" s="44" t="n">
        <f aca="false">AW13*Supuestos!$C$60</f>
        <v>135</v>
      </c>
      <c r="AX28" s="44" t="n">
        <f aca="false">AX13*Supuestos!$C$60</f>
        <v>137.5</v>
      </c>
      <c r="AY28" s="44" t="n">
        <f aca="false">AY13*Supuestos!$C$60</f>
        <v>140</v>
      </c>
      <c r="AZ28" s="44" t="n">
        <f aca="false">AZ13*Supuestos!$C$60</f>
        <v>142.5</v>
      </c>
      <c r="BA28" s="44" t="n">
        <f aca="false">BA13*Supuestos!$C$60</f>
        <v>145</v>
      </c>
      <c r="BB28" s="44" t="n">
        <f aca="false">BB13*Supuestos!$C$60</f>
        <v>147.5</v>
      </c>
      <c r="BC28" s="44" t="n">
        <f aca="false">BC13*Supuestos!$C$60</f>
        <v>150</v>
      </c>
      <c r="BD28" s="44" t="n">
        <f aca="false">BD13*Supuestos!$C$60</f>
        <v>152.5</v>
      </c>
      <c r="BE28" s="44" t="n">
        <f aca="false">BE13*Supuestos!$C$60</f>
        <v>155</v>
      </c>
      <c r="BF28" s="44" t="n">
        <f aca="false">BF13*Supuestos!$C$60</f>
        <v>157.5</v>
      </c>
      <c r="BG28" s="44" t="n">
        <f aca="false">BG13*Supuestos!$C$60</f>
        <v>160</v>
      </c>
      <c r="BH28" s="44" t="n">
        <f aca="false">BH13*Supuestos!$C$60</f>
        <v>162.5</v>
      </c>
      <c r="BI28" s="44" t="n">
        <f aca="false">BI13*Supuestos!$C$60</f>
        <v>165</v>
      </c>
      <c r="BJ28" s="44" t="n">
        <f aca="false">BJ13*Supuestos!$C$60</f>
        <v>167.5</v>
      </c>
    </row>
    <row r="29" customFormat="false" ht="15" hidden="false" customHeight="true" outlineLevel="0" collapsed="false">
      <c r="A29" s="10" t="s">
        <v>255</v>
      </c>
      <c r="B29" s="7" t="s">
        <v>115</v>
      </c>
      <c r="C29" s="44" t="n">
        <f aca="false">Supuestos!$C$61+C14/100*Supuestos!$C$62</f>
        <v>80.2499</v>
      </c>
      <c r="D29" s="44" t="n">
        <f aca="false">Supuestos!$C$61+D14/100*Supuestos!$C$62</f>
        <v>80.375</v>
      </c>
      <c r="E29" s="44" t="n">
        <f aca="false">Supuestos!$C$61+E14/100*Supuestos!$C$62</f>
        <v>80.6249</v>
      </c>
      <c r="F29" s="44" t="n">
        <f aca="false">Supuestos!$C$61+F14/100*Supuestos!$C$62</f>
        <v>80.8751</v>
      </c>
      <c r="G29" s="44" t="n">
        <f aca="false">Supuestos!$C$61+G14/100*Supuestos!$C$62</f>
        <v>81.125</v>
      </c>
      <c r="H29" s="44" t="n">
        <f aca="false">Supuestos!$C$61+H14/100*Supuestos!$C$62</f>
        <v>81.3749</v>
      </c>
      <c r="I29" s="44" t="n">
        <f aca="false">Supuestos!$C$61+I14/100*Supuestos!$C$62</f>
        <v>81.6251</v>
      </c>
      <c r="J29" s="44" t="n">
        <f aca="false">Supuestos!$C$61+J14/100*Supuestos!$C$62</f>
        <v>82.0001</v>
      </c>
      <c r="K29" s="44" t="n">
        <f aca="false">Supuestos!$C$61+K14/100*Supuestos!$C$62</f>
        <v>82.25</v>
      </c>
      <c r="L29" s="44" t="n">
        <f aca="false">Supuestos!$C$61+L14/100*Supuestos!$C$62</f>
        <v>82.4999</v>
      </c>
      <c r="M29" s="44" t="n">
        <f aca="false">Supuestos!$C$61+M14/100*Supuestos!$C$62</f>
        <v>82.7501</v>
      </c>
      <c r="N29" s="44" t="n">
        <f aca="false">Supuestos!$C$61+N14/100*Supuestos!$C$62</f>
        <v>83</v>
      </c>
      <c r="O29" s="44" t="n">
        <f aca="false">Supuestos!$C$61+O14/100*Supuestos!$C$62</f>
        <v>83.375</v>
      </c>
      <c r="P29" s="44" t="n">
        <f aca="false">Supuestos!$C$61+P14/100*Supuestos!$C$62</f>
        <v>83.75</v>
      </c>
      <c r="Q29" s="44" t="n">
        <f aca="false">Supuestos!$C$61+Q14/100*Supuestos!$C$62</f>
        <v>84.125</v>
      </c>
      <c r="R29" s="44" t="n">
        <f aca="false">Supuestos!$C$61+R14/100*Supuestos!$C$62</f>
        <v>84.5</v>
      </c>
      <c r="S29" s="44" t="n">
        <f aca="false">Supuestos!$C$61+S14/100*Supuestos!$C$62</f>
        <v>84.875</v>
      </c>
      <c r="T29" s="44" t="n">
        <f aca="false">Supuestos!$C$61+T14/100*Supuestos!$C$62</f>
        <v>85.25</v>
      </c>
      <c r="U29" s="44" t="n">
        <f aca="false">Supuestos!$C$61+U14/100*Supuestos!$C$62</f>
        <v>85.625</v>
      </c>
      <c r="V29" s="44" t="n">
        <f aca="false">Supuestos!$C$61+V14/100*Supuestos!$C$62</f>
        <v>86</v>
      </c>
      <c r="W29" s="44" t="n">
        <f aca="false">Supuestos!$C$61+W14/100*Supuestos!$C$62</f>
        <v>86.375</v>
      </c>
      <c r="X29" s="44" t="n">
        <f aca="false">Supuestos!$C$61+X14/100*Supuestos!$C$62</f>
        <v>86.75</v>
      </c>
      <c r="Y29" s="44" t="n">
        <f aca="false">Supuestos!$C$61+Y14/100*Supuestos!$C$62</f>
        <v>87.125</v>
      </c>
      <c r="Z29" s="44" t="n">
        <f aca="false">Supuestos!$C$61+Z14/100*Supuestos!$C$62</f>
        <v>87.5</v>
      </c>
      <c r="AA29" s="44" t="n">
        <f aca="false">Supuestos!$C$61+AA14/100*Supuestos!$C$62</f>
        <v>88.125</v>
      </c>
      <c r="AB29" s="44" t="n">
        <f aca="false">Supuestos!$C$61+AB14/100*Supuestos!$C$62</f>
        <v>88.75</v>
      </c>
      <c r="AC29" s="44" t="n">
        <f aca="false">Supuestos!$C$61+AC14/100*Supuestos!$C$62</f>
        <v>89.375</v>
      </c>
      <c r="AD29" s="44" t="n">
        <f aca="false">Supuestos!$C$61+AD14/100*Supuestos!$C$62</f>
        <v>90</v>
      </c>
      <c r="AE29" s="44" t="n">
        <f aca="false">Supuestos!$C$61+AE14/100*Supuestos!$C$62</f>
        <v>90.625</v>
      </c>
      <c r="AF29" s="44" t="n">
        <f aca="false">Supuestos!$C$61+AF14/100*Supuestos!$C$62</f>
        <v>91.25</v>
      </c>
      <c r="AG29" s="44" t="n">
        <f aca="false">Supuestos!$C$61+AG14/100*Supuestos!$C$62</f>
        <v>91.875</v>
      </c>
      <c r="AH29" s="44" t="n">
        <f aca="false">Supuestos!$C$61+AH14/100*Supuestos!$C$62</f>
        <v>92.5</v>
      </c>
      <c r="AI29" s="44" t="n">
        <f aca="false">Supuestos!$C$61+AI14/100*Supuestos!$C$62</f>
        <v>93.125</v>
      </c>
      <c r="AJ29" s="44" t="n">
        <f aca="false">Supuestos!$C$61+AJ14/100*Supuestos!$C$62</f>
        <v>93.75</v>
      </c>
      <c r="AK29" s="44" t="n">
        <f aca="false">Supuestos!$C$61+AK14/100*Supuestos!$C$62</f>
        <v>94.375</v>
      </c>
      <c r="AL29" s="44" t="n">
        <f aca="false">Supuestos!$C$61+AL14/100*Supuestos!$C$62</f>
        <v>95</v>
      </c>
      <c r="AM29" s="44" t="n">
        <f aca="false">Supuestos!$C$61+AM14/100*Supuestos!$C$62</f>
        <v>95.625</v>
      </c>
      <c r="AN29" s="44" t="n">
        <f aca="false">Supuestos!$C$61+AN14/100*Supuestos!$C$62</f>
        <v>96.25</v>
      </c>
      <c r="AO29" s="44" t="n">
        <f aca="false">Supuestos!$C$61+AO14/100*Supuestos!$C$62</f>
        <v>96.875</v>
      </c>
      <c r="AP29" s="44" t="n">
        <f aca="false">Supuestos!$C$61+AP14/100*Supuestos!$C$62</f>
        <v>97.5</v>
      </c>
      <c r="AQ29" s="44" t="n">
        <f aca="false">Supuestos!$C$61+AQ14/100*Supuestos!$C$62</f>
        <v>98.125</v>
      </c>
      <c r="AR29" s="44" t="n">
        <f aca="false">Supuestos!$C$61+AR14/100*Supuestos!$C$62</f>
        <v>98.75</v>
      </c>
      <c r="AS29" s="44" t="n">
        <f aca="false">Supuestos!$C$61+AS14/100*Supuestos!$C$62</f>
        <v>99.375</v>
      </c>
      <c r="AT29" s="44" t="n">
        <f aca="false">Supuestos!$C$61+AT14/100*Supuestos!$C$62</f>
        <v>100</v>
      </c>
      <c r="AU29" s="44" t="n">
        <f aca="false">Supuestos!$C$61+AU14/100*Supuestos!$C$62</f>
        <v>100.625</v>
      </c>
      <c r="AV29" s="44" t="n">
        <f aca="false">Supuestos!$C$61+AV14/100*Supuestos!$C$62</f>
        <v>101.25</v>
      </c>
      <c r="AW29" s="44" t="n">
        <f aca="false">Supuestos!$C$61+AW14/100*Supuestos!$C$62</f>
        <v>101.875</v>
      </c>
      <c r="AX29" s="44" t="n">
        <f aca="false">Supuestos!$C$61+AX14/100*Supuestos!$C$62</f>
        <v>102.5</v>
      </c>
      <c r="AY29" s="44" t="n">
        <f aca="false">Supuestos!$C$61+AY14/100*Supuestos!$C$62</f>
        <v>103.125</v>
      </c>
      <c r="AZ29" s="44" t="n">
        <f aca="false">Supuestos!$C$61+AZ14/100*Supuestos!$C$62</f>
        <v>103.75</v>
      </c>
      <c r="BA29" s="44" t="n">
        <f aca="false">Supuestos!$C$61+BA14/100*Supuestos!$C$62</f>
        <v>104.375</v>
      </c>
      <c r="BB29" s="44" t="n">
        <f aca="false">Supuestos!$C$61+BB14/100*Supuestos!$C$62</f>
        <v>105</v>
      </c>
      <c r="BC29" s="44" t="n">
        <f aca="false">Supuestos!$C$61+BC14/100*Supuestos!$C$62</f>
        <v>105.625</v>
      </c>
      <c r="BD29" s="44" t="n">
        <f aca="false">Supuestos!$C$61+BD14/100*Supuestos!$C$62</f>
        <v>106.25</v>
      </c>
      <c r="BE29" s="44" t="n">
        <f aca="false">Supuestos!$C$61+BE14/100*Supuestos!$C$62</f>
        <v>106.875</v>
      </c>
      <c r="BF29" s="44" t="n">
        <f aca="false">Supuestos!$C$61+BF14/100*Supuestos!$C$62</f>
        <v>107.5</v>
      </c>
      <c r="BG29" s="44" t="n">
        <f aca="false">Supuestos!$C$61+BG14/100*Supuestos!$C$62</f>
        <v>108.125</v>
      </c>
      <c r="BH29" s="44" t="n">
        <f aca="false">Supuestos!$C$61+BH14/100*Supuestos!$C$62</f>
        <v>108.75</v>
      </c>
      <c r="BI29" s="44" t="n">
        <f aca="false">Supuestos!$C$61+BI14/100*Supuestos!$C$62</f>
        <v>109.375</v>
      </c>
      <c r="BJ29" s="44" t="n">
        <f aca="false">Supuestos!$C$61+BJ14/100*Supuestos!$C$62</f>
        <v>110</v>
      </c>
    </row>
    <row r="30" customFormat="false" ht="15" hidden="false" customHeight="true" outlineLevel="0" collapsed="false">
      <c r="A30" s="16" t="s">
        <v>256</v>
      </c>
      <c r="B30" s="7" t="s">
        <v>115</v>
      </c>
      <c r="C30" s="45" t="n">
        <f aca="false">SUM(C26:C29)</f>
        <v>110.4045</v>
      </c>
      <c r="D30" s="45" t="n">
        <f aca="false">SUM(D26:D29)</f>
        <v>98.56083</v>
      </c>
      <c r="E30" s="45" t="n">
        <f aca="false">SUM(E26:E29)</f>
        <v>115.417</v>
      </c>
      <c r="F30" s="45" t="n">
        <f aca="false">SUM(F26:F29)</f>
        <v>118.79383</v>
      </c>
      <c r="G30" s="45" t="n">
        <f aca="false">SUM(G26:G29)</f>
        <v>122.10167</v>
      </c>
      <c r="H30" s="45" t="n">
        <f aca="false">SUM(H26:H29)</f>
        <v>125.442</v>
      </c>
      <c r="I30" s="45" t="n">
        <f aca="false">SUM(I26:I29)</f>
        <v>128.81883</v>
      </c>
      <c r="J30" s="45" t="n">
        <f aca="false">SUM(J26:J29)</f>
        <v>147.34717</v>
      </c>
      <c r="K30" s="45" t="n">
        <f aca="false">SUM(K26:K29)</f>
        <v>137.13917</v>
      </c>
      <c r="L30" s="45" t="n">
        <f aca="false">SUM(L26:L29)</f>
        <v>140.4795</v>
      </c>
      <c r="M30" s="45" t="n">
        <f aca="false">SUM(M26:M29)</f>
        <v>143.85633</v>
      </c>
      <c r="N30" s="45" t="n">
        <f aca="false">SUM(N26:N29)</f>
        <v>147.16417</v>
      </c>
      <c r="O30" s="45" t="n">
        <f aca="false">SUM(O26:O29)</f>
        <v>165.725</v>
      </c>
      <c r="P30" s="45" t="n">
        <f aca="false">SUM(P26:P29)</f>
        <v>170.7375</v>
      </c>
      <c r="Q30" s="45" t="n">
        <f aca="false">SUM(Q26:Q29)</f>
        <v>175.75</v>
      </c>
      <c r="R30" s="45" t="n">
        <f aca="false">SUM(R26:R29)</f>
        <v>180.7625</v>
      </c>
      <c r="S30" s="45" t="n">
        <f aca="false">SUM(S26:S29)</f>
        <v>185.775</v>
      </c>
      <c r="T30" s="45" t="n">
        <f aca="false">SUM(T26:T29)</f>
        <v>190.7875</v>
      </c>
      <c r="U30" s="45" t="n">
        <f aca="false">SUM(U26:U29)</f>
        <v>195.8</v>
      </c>
      <c r="V30" s="45" t="n">
        <f aca="false">SUM(V26:V29)</f>
        <v>200.8125</v>
      </c>
      <c r="W30" s="45" t="n">
        <f aca="false">SUM(W26:W29)</f>
        <v>205.825</v>
      </c>
      <c r="X30" s="45" t="n">
        <f aca="false">SUM(X26:X29)</f>
        <v>210.8375</v>
      </c>
      <c r="Y30" s="45" t="n">
        <f aca="false">SUM(Y26:Y29)</f>
        <v>215.85</v>
      </c>
      <c r="Z30" s="45" t="n">
        <f aca="false">SUM(Z26:Z29)</f>
        <v>220.8625</v>
      </c>
      <c r="AA30" s="45" t="n">
        <f aca="false">SUM(AA26:AA29)</f>
        <v>256.291666666667</v>
      </c>
      <c r="AB30" s="45" t="n">
        <f aca="false">SUM(AB26:AB29)</f>
        <v>264.645833333333</v>
      </c>
      <c r="AC30" s="45" t="n">
        <f aca="false">SUM(AC26:AC29)</f>
        <v>273</v>
      </c>
      <c r="AD30" s="45" t="n">
        <f aca="false">SUM(AD26:AD29)</f>
        <v>281.354166666667</v>
      </c>
      <c r="AE30" s="45" t="n">
        <f aca="false">SUM(AE26:AE29)</f>
        <v>289.708333333333</v>
      </c>
      <c r="AF30" s="45" t="n">
        <f aca="false">SUM(AF26:AF29)</f>
        <v>298.0625</v>
      </c>
      <c r="AG30" s="45" t="n">
        <f aca="false">SUM(AG26:AG29)</f>
        <v>306.416666666667</v>
      </c>
      <c r="AH30" s="45" t="n">
        <f aca="false">SUM(AH26:AH29)</f>
        <v>314.770833333333</v>
      </c>
      <c r="AI30" s="45" t="n">
        <f aca="false">SUM(AI26:AI29)</f>
        <v>323.125</v>
      </c>
      <c r="AJ30" s="45" t="n">
        <f aca="false">SUM(AJ26:AJ29)</f>
        <v>331.479166666667</v>
      </c>
      <c r="AK30" s="45" t="n">
        <f aca="false">SUM(AK26:AK29)</f>
        <v>339.833333333333</v>
      </c>
      <c r="AL30" s="45" t="n">
        <f aca="false">SUM(AL26:AL29)</f>
        <v>348.1875</v>
      </c>
      <c r="AM30" s="45" t="n">
        <f aca="false">SUM(AM26:AM29)</f>
        <v>356.541666666667</v>
      </c>
      <c r="AN30" s="45" t="n">
        <f aca="false">SUM(AN26:AN29)</f>
        <v>364.895833333333</v>
      </c>
      <c r="AO30" s="45" t="n">
        <f aca="false">SUM(AO26:AO29)</f>
        <v>373.25</v>
      </c>
      <c r="AP30" s="45" t="n">
        <f aca="false">SUM(AP26:AP29)</f>
        <v>381.604166666667</v>
      </c>
      <c r="AQ30" s="45" t="n">
        <f aca="false">SUM(AQ26:AQ29)</f>
        <v>389.958333333333</v>
      </c>
      <c r="AR30" s="45" t="n">
        <f aca="false">SUM(AR26:AR29)</f>
        <v>398.3125</v>
      </c>
      <c r="AS30" s="45" t="n">
        <f aca="false">SUM(AS26:AS29)</f>
        <v>406.666666666667</v>
      </c>
      <c r="AT30" s="45" t="n">
        <f aca="false">SUM(AT26:AT29)</f>
        <v>415.020833333333</v>
      </c>
      <c r="AU30" s="45" t="n">
        <f aca="false">SUM(AU26:AU29)</f>
        <v>423.375</v>
      </c>
      <c r="AV30" s="45" t="n">
        <f aca="false">SUM(AV26:AV29)</f>
        <v>431.729166666667</v>
      </c>
      <c r="AW30" s="45" t="n">
        <f aca="false">SUM(AW26:AW29)</f>
        <v>440.083333333333</v>
      </c>
      <c r="AX30" s="45" t="n">
        <f aca="false">SUM(AX26:AX29)</f>
        <v>448.4375</v>
      </c>
      <c r="AY30" s="45" t="n">
        <f aca="false">SUM(AY26:AY29)</f>
        <v>456.791666666667</v>
      </c>
      <c r="AZ30" s="45" t="n">
        <f aca="false">SUM(AZ26:AZ29)</f>
        <v>465.145833333333</v>
      </c>
      <c r="BA30" s="45" t="n">
        <f aca="false">SUM(BA26:BA29)</f>
        <v>473.5</v>
      </c>
      <c r="BB30" s="45" t="n">
        <f aca="false">SUM(BB26:BB29)</f>
        <v>481.854166666667</v>
      </c>
      <c r="BC30" s="45" t="n">
        <f aca="false">SUM(BC26:BC29)</f>
        <v>490.208333333333</v>
      </c>
      <c r="BD30" s="45" t="n">
        <f aca="false">SUM(BD26:BD29)</f>
        <v>498.5625</v>
      </c>
      <c r="BE30" s="45" t="n">
        <f aca="false">SUM(BE26:BE29)</f>
        <v>506.916666666667</v>
      </c>
      <c r="BF30" s="45" t="n">
        <f aca="false">SUM(BF26:BF29)</f>
        <v>515.270833333333</v>
      </c>
      <c r="BG30" s="45" t="n">
        <f aca="false">SUM(BG26:BG29)</f>
        <v>523.625</v>
      </c>
      <c r="BH30" s="45" t="n">
        <f aca="false">SUM(BH26:BH29)</f>
        <v>531.979166666667</v>
      </c>
      <c r="BI30" s="45" t="n">
        <f aca="false">SUM(BI26:BI29)</f>
        <v>540.333333333333</v>
      </c>
      <c r="BJ30" s="45" t="n">
        <f aca="false">SUM(BJ26:BJ29)</f>
        <v>548.6875</v>
      </c>
    </row>
    <row r="31" customFormat="false" ht="15" hidden="false" customHeight="true" outlineLevel="0" collapsed="false">
      <c r="A31" s="10" t="s">
        <v>257</v>
      </c>
      <c r="B31" s="7" t="s">
        <v>115</v>
      </c>
      <c r="C31" s="44" t="n">
        <f aca="false">Supuestos!$C$51*IF(C6=1,Supuestos!$C$54,IF(C6=2,Supuestos!$C$55,Supuestos!$C$56))</f>
        <v>240</v>
      </c>
      <c r="D31" s="44" t="n">
        <f aca="false">Supuestos!$C$51*IF(D6=1,Supuestos!$C$54,IF(D6=2,Supuestos!$C$55,Supuestos!$C$56))</f>
        <v>240</v>
      </c>
      <c r="E31" s="44" t="n">
        <f aca="false">Supuestos!$C$51*IF(E6=1,Supuestos!$C$54,IF(E6=2,Supuestos!$C$55,Supuestos!$C$56))</f>
        <v>240</v>
      </c>
      <c r="F31" s="44" t="n">
        <f aca="false">Supuestos!$C$51*IF(F6=1,Supuestos!$C$54,IF(F6=2,Supuestos!$C$55,Supuestos!$C$56))</f>
        <v>240</v>
      </c>
      <c r="G31" s="44" t="n">
        <f aca="false">Supuestos!$C$51*IF(G6=1,Supuestos!$C$54,IF(G6=2,Supuestos!$C$55,Supuestos!$C$56))</f>
        <v>240</v>
      </c>
      <c r="H31" s="44" t="n">
        <f aca="false">Supuestos!$C$51*IF(H6=1,Supuestos!$C$54,IF(H6=2,Supuestos!$C$55,Supuestos!$C$56))</f>
        <v>240</v>
      </c>
      <c r="I31" s="44" t="n">
        <f aca="false">Supuestos!$C$51*IF(I6=1,Supuestos!$C$54,IF(I6=2,Supuestos!$C$55,Supuestos!$C$56))</f>
        <v>240</v>
      </c>
      <c r="J31" s="44" t="n">
        <f aca="false">Supuestos!$C$51*IF(J6=1,Supuestos!$C$54,IF(J6=2,Supuestos!$C$55,Supuestos!$C$56))</f>
        <v>240</v>
      </c>
      <c r="K31" s="44" t="n">
        <f aca="false">Supuestos!$C$51*IF(K6=1,Supuestos!$C$54,IF(K6=2,Supuestos!$C$55,Supuestos!$C$56))</f>
        <v>240</v>
      </c>
      <c r="L31" s="44" t="n">
        <f aca="false">Supuestos!$C$51*IF(L6=1,Supuestos!$C$54,IF(L6=2,Supuestos!$C$55,Supuestos!$C$56))</f>
        <v>240</v>
      </c>
      <c r="M31" s="44" t="n">
        <f aca="false">Supuestos!$C$51*IF(M6=1,Supuestos!$C$54,IF(M6=2,Supuestos!$C$55,Supuestos!$C$56))</f>
        <v>240</v>
      </c>
      <c r="N31" s="44" t="n">
        <f aca="false">Supuestos!$C$51*IF(N6=1,Supuestos!$C$54,IF(N6=2,Supuestos!$C$55,Supuestos!$C$56))</f>
        <v>240</v>
      </c>
      <c r="O31" s="44" t="n">
        <f aca="false">Supuestos!$C$51*IF(O6=1,Supuestos!$C$54,IF(O6=2,Supuestos!$C$55,Supuestos!$C$56))</f>
        <v>360</v>
      </c>
      <c r="P31" s="44" t="n">
        <f aca="false">Supuestos!$C$51*IF(P6=1,Supuestos!$C$54,IF(P6=2,Supuestos!$C$55,Supuestos!$C$56))</f>
        <v>360</v>
      </c>
      <c r="Q31" s="44" t="n">
        <f aca="false">Supuestos!$C$51*IF(Q6=1,Supuestos!$C$54,IF(Q6=2,Supuestos!$C$55,Supuestos!$C$56))</f>
        <v>360</v>
      </c>
      <c r="R31" s="44" t="n">
        <f aca="false">Supuestos!$C$51*IF(R6=1,Supuestos!$C$54,IF(R6=2,Supuestos!$C$55,Supuestos!$C$56))</f>
        <v>360</v>
      </c>
      <c r="S31" s="44" t="n">
        <f aca="false">Supuestos!$C$51*IF(S6=1,Supuestos!$C$54,IF(S6=2,Supuestos!$C$55,Supuestos!$C$56))</f>
        <v>360</v>
      </c>
      <c r="T31" s="44" t="n">
        <f aca="false">Supuestos!$C$51*IF(T6=1,Supuestos!$C$54,IF(T6=2,Supuestos!$C$55,Supuestos!$C$56))</f>
        <v>360</v>
      </c>
      <c r="U31" s="44" t="n">
        <f aca="false">Supuestos!$C$51*IF(U6=1,Supuestos!$C$54,IF(U6=2,Supuestos!$C$55,Supuestos!$C$56))</f>
        <v>360</v>
      </c>
      <c r="V31" s="44" t="n">
        <f aca="false">Supuestos!$C$51*IF(V6=1,Supuestos!$C$54,IF(V6=2,Supuestos!$C$55,Supuestos!$C$56))</f>
        <v>360</v>
      </c>
      <c r="W31" s="44" t="n">
        <f aca="false">Supuestos!$C$51*IF(W6=1,Supuestos!$C$54,IF(W6=2,Supuestos!$C$55,Supuestos!$C$56))</f>
        <v>360</v>
      </c>
      <c r="X31" s="44" t="n">
        <f aca="false">Supuestos!$C$51*IF(X6=1,Supuestos!$C$54,IF(X6=2,Supuestos!$C$55,Supuestos!$C$56))</f>
        <v>360</v>
      </c>
      <c r="Y31" s="44" t="n">
        <f aca="false">Supuestos!$C$51*IF(Y6=1,Supuestos!$C$54,IF(Y6=2,Supuestos!$C$55,Supuestos!$C$56))</f>
        <v>360</v>
      </c>
      <c r="Z31" s="44" t="n">
        <f aca="false">Supuestos!$C$51*IF(Z6=1,Supuestos!$C$54,IF(Z6=2,Supuestos!$C$55,Supuestos!$C$56))</f>
        <v>360</v>
      </c>
      <c r="AA31" s="44" t="n">
        <f aca="false">Supuestos!$C$51*IF(AA6=1,Supuestos!$C$54,IF(AA6=2,Supuestos!$C$55,Supuestos!$C$56))</f>
        <v>480</v>
      </c>
      <c r="AB31" s="44" t="n">
        <f aca="false">Supuestos!$C$51*IF(AB6=1,Supuestos!$C$54,IF(AB6=2,Supuestos!$C$55,Supuestos!$C$56))</f>
        <v>480</v>
      </c>
      <c r="AC31" s="44" t="n">
        <f aca="false">Supuestos!$C$51*IF(AC6=1,Supuestos!$C$54,IF(AC6=2,Supuestos!$C$55,Supuestos!$C$56))</f>
        <v>480</v>
      </c>
      <c r="AD31" s="44" t="n">
        <f aca="false">Supuestos!$C$51*IF(AD6=1,Supuestos!$C$54,IF(AD6=2,Supuestos!$C$55,Supuestos!$C$56))</f>
        <v>480</v>
      </c>
      <c r="AE31" s="44" t="n">
        <f aca="false">Supuestos!$C$51*IF(AE6=1,Supuestos!$C$54,IF(AE6=2,Supuestos!$C$55,Supuestos!$C$56))</f>
        <v>480</v>
      </c>
      <c r="AF31" s="44" t="n">
        <f aca="false">Supuestos!$C$51*IF(AF6=1,Supuestos!$C$54,IF(AF6=2,Supuestos!$C$55,Supuestos!$C$56))</f>
        <v>480</v>
      </c>
      <c r="AG31" s="44" t="n">
        <f aca="false">Supuestos!$C$51*IF(AG6=1,Supuestos!$C$54,IF(AG6=2,Supuestos!$C$55,Supuestos!$C$56))</f>
        <v>480</v>
      </c>
      <c r="AH31" s="44" t="n">
        <f aca="false">Supuestos!$C$51*IF(AH6=1,Supuestos!$C$54,IF(AH6=2,Supuestos!$C$55,Supuestos!$C$56))</f>
        <v>480</v>
      </c>
      <c r="AI31" s="44" t="n">
        <f aca="false">Supuestos!$C$51*IF(AI6=1,Supuestos!$C$54,IF(AI6=2,Supuestos!$C$55,Supuestos!$C$56))</f>
        <v>480</v>
      </c>
      <c r="AJ31" s="44" t="n">
        <f aca="false">Supuestos!$C$51*IF(AJ6=1,Supuestos!$C$54,IF(AJ6=2,Supuestos!$C$55,Supuestos!$C$56))</f>
        <v>480</v>
      </c>
      <c r="AK31" s="44" t="n">
        <f aca="false">Supuestos!$C$51*IF(AK6=1,Supuestos!$C$54,IF(AK6=2,Supuestos!$C$55,Supuestos!$C$56))</f>
        <v>480</v>
      </c>
      <c r="AL31" s="44" t="n">
        <f aca="false">Supuestos!$C$51*IF(AL6=1,Supuestos!$C$54,IF(AL6=2,Supuestos!$C$55,Supuestos!$C$56))</f>
        <v>480</v>
      </c>
      <c r="AM31" s="44" t="n">
        <f aca="false">Supuestos!$C$51*IF(AM6=1,Supuestos!$C$54,IF(AM6=2,Supuestos!$C$55,Supuestos!$C$56))</f>
        <v>480</v>
      </c>
      <c r="AN31" s="44" t="n">
        <f aca="false">Supuestos!$C$51*IF(AN6=1,Supuestos!$C$54,IF(AN6=2,Supuestos!$C$55,Supuestos!$C$56))</f>
        <v>480</v>
      </c>
      <c r="AO31" s="44" t="n">
        <f aca="false">Supuestos!$C$51*IF(AO6=1,Supuestos!$C$54,IF(AO6=2,Supuestos!$C$55,Supuestos!$C$56))</f>
        <v>480</v>
      </c>
      <c r="AP31" s="44" t="n">
        <f aca="false">Supuestos!$C$51*IF(AP6=1,Supuestos!$C$54,IF(AP6=2,Supuestos!$C$55,Supuestos!$C$56))</f>
        <v>480</v>
      </c>
      <c r="AQ31" s="44" t="n">
        <f aca="false">Supuestos!$C$51*IF(AQ6=1,Supuestos!$C$54,IF(AQ6=2,Supuestos!$C$55,Supuestos!$C$56))</f>
        <v>480</v>
      </c>
      <c r="AR31" s="44" t="n">
        <f aca="false">Supuestos!$C$51*IF(AR6=1,Supuestos!$C$54,IF(AR6=2,Supuestos!$C$55,Supuestos!$C$56))</f>
        <v>480</v>
      </c>
      <c r="AS31" s="44" t="n">
        <f aca="false">Supuestos!$C$51*IF(AS6=1,Supuestos!$C$54,IF(AS6=2,Supuestos!$C$55,Supuestos!$C$56))</f>
        <v>480</v>
      </c>
      <c r="AT31" s="44" t="n">
        <f aca="false">Supuestos!$C$51*IF(AT6=1,Supuestos!$C$54,IF(AT6=2,Supuestos!$C$55,Supuestos!$C$56))</f>
        <v>480</v>
      </c>
      <c r="AU31" s="44" t="n">
        <f aca="false">Supuestos!$C$51*IF(AU6=1,Supuestos!$C$54,IF(AU6=2,Supuestos!$C$55,Supuestos!$C$56))</f>
        <v>480</v>
      </c>
      <c r="AV31" s="44" t="n">
        <f aca="false">Supuestos!$C$51*IF(AV6=1,Supuestos!$C$54,IF(AV6=2,Supuestos!$C$55,Supuestos!$C$56))</f>
        <v>480</v>
      </c>
      <c r="AW31" s="44" t="n">
        <f aca="false">Supuestos!$C$51*IF(AW6=1,Supuestos!$C$54,IF(AW6=2,Supuestos!$C$55,Supuestos!$C$56))</f>
        <v>480</v>
      </c>
      <c r="AX31" s="44" t="n">
        <f aca="false">Supuestos!$C$51*IF(AX6=1,Supuestos!$C$54,IF(AX6=2,Supuestos!$C$55,Supuestos!$C$56))</f>
        <v>480</v>
      </c>
      <c r="AY31" s="44" t="n">
        <f aca="false">Supuestos!$C$51*IF(AY6=1,Supuestos!$C$54,IF(AY6=2,Supuestos!$C$55,Supuestos!$C$56))</f>
        <v>480</v>
      </c>
      <c r="AZ31" s="44" t="n">
        <f aca="false">Supuestos!$C$51*IF(AZ6=1,Supuestos!$C$54,IF(AZ6=2,Supuestos!$C$55,Supuestos!$C$56))</f>
        <v>480</v>
      </c>
      <c r="BA31" s="44" t="n">
        <f aca="false">Supuestos!$C$51*IF(BA6=1,Supuestos!$C$54,IF(BA6=2,Supuestos!$C$55,Supuestos!$C$56))</f>
        <v>480</v>
      </c>
      <c r="BB31" s="44" t="n">
        <f aca="false">Supuestos!$C$51*IF(BB6=1,Supuestos!$C$54,IF(BB6=2,Supuestos!$C$55,Supuestos!$C$56))</f>
        <v>480</v>
      </c>
      <c r="BC31" s="44" t="n">
        <f aca="false">Supuestos!$C$51*IF(BC6=1,Supuestos!$C$54,IF(BC6=2,Supuestos!$C$55,Supuestos!$C$56))</f>
        <v>480</v>
      </c>
      <c r="BD31" s="44" t="n">
        <f aca="false">Supuestos!$C$51*IF(BD6=1,Supuestos!$C$54,IF(BD6=2,Supuestos!$C$55,Supuestos!$C$56))</f>
        <v>480</v>
      </c>
      <c r="BE31" s="44" t="n">
        <f aca="false">Supuestos!$C$51*IF(BE6=1,Supuestos!$C$54,IF(BE6=2,Supuestos!$C$55,Supuestos!$C$56))</f>
        <v>480</v>
      </c>
      <c r="BF31" s="44" t="n">
        <f aca="false">Supuestos!$C$51*IF(BF6=1,Supuestos!$C$54,IF(BF6=2,Supuestos!$C$55,Supuestos!$C$56))</f>
        <v>480</v>
      </c>
      <c r="BG31" s="44" t="n">
        <f aca="false">Supuestos!$C$51*IF(BG6=1,Supuestos!$C$54,IF(BG6=2,Supuestos!$C$55,Supuestos!$C$56))</f>
        <v>480</v>
      </c>
      <c r="BH31" s="44" t="n">
        <f aca="false">Supuestos!$C$51*IF(BH6=1,Supuestos!$C$54,IF(BH6=2,Supuestos!$C$55,Supuestos!$C$56))</f>
        <v>480</v>
      </c>
      <c r="BI31" s="44" t="n">
        <f aca="false">Supuestos!$C$51*IF(BI6=1,Supuestos!$C$54,IF(BI6=2,Supuestos!$C$55,Supuestos!$C$56))</f>
        <v>480</v>
      </c>
      <c r="BJ31" s="44" t="n">
        <f aca="false">Supuestos!$C$51*IF(BJ6=1,Supuestos!$C$54,IF(BJ6=2,Supuestos!$C$55,Supuestos!$C$56))</f>
        <v>480</v>
      </c>
    </row>
    <row r="32" customFormat="false" ht="15" hidden="false" customHeight="true" outlineLevel="0" collapsed="false">
      <c r="A32" s="16" t="s">
        <v>258</v>
      </c>
      <c r="B32" s="7" t="s">
        <v>109</v>
      </c>
      <c r="C32" s="46" t="n">
        <f aca="false">IF(Supuestos!$C$8=1,MAX(0,ROUNDUP((C30-C31)/Supuestos!$C$57,0)),IF(C5=1,1,IF(C6=1,2,IF(C6=2,3,IF(C6=3,4,5)))))</f>
        <v>0</v>
      </c>
      <c r="D32" s="46" t="n">
        <f aca="false">IF(Supuestos!$C$8=1,MAX(0,ROUNDUP((D30-D31)/Supuestos!$C$57,0)),IF(D5=1,1,IF(D6=1,2,IF(D6=2,3,IF(D6=3,4,5)))))</f>
        <v>0</v>
      </c>
      <c r="E32" s="46" t="n">
        <f aca="false">IF(Supuestos!$C$8=1,MAX(0,ROUNDUP((E30-E31)/Supuestos!$C$57,0)),IF(E5=1,1,IF(E6=1,2,IF(E6=2,3,IF(E6=3,4,5)))))</f>
        <v>0</v>
      </c>
      <c r="F32" s="46" t="n">
        <f aca="false">IF(Supuestos!$C$8=1,MAX(0,ROUNDUP((F30-F31)/Supuestos!$C$57,0)),IF(F5=1,1,IF(F6=1,2,IF(F6=2,3,IF(F6=3,4,5)))))</f>
        <v>0</v>
      </c>
      <c r="G32" s="46" t="n">
        <f aca="false">IF(Supuestos!$C$8=1,MAX(0,ROUNDUP((G30-G31)/Supuestos!$C$57,0)),IF(G5=1,1,IF(G6=1,2,IF(G6=2,3,IF(G6=3,4,5)))))</f>
        <v>0</v>
      </c>
      <c r="H32" s="46" t="n">
        <f aca="false">IF(Supuestos!$C$8=1,MAX(0,ROUNDUP((H30-H31)/Supuestos!$C$57,0)),IF(H5=1,1,IF(H6=1,2,IF(H6=2,3,IF(H6=3,4,5)))))</f>
        <v>0</v>
      </c>
      <c r="I32" s="46" t="n">
        <f aca="false">IF(Supuestos!$C$8=1,MAX(0,ROUNDUP((I30-I31)/Supuestos!$C$57,0)),IF(I5=1,1,IF(I6=1,2,IF(I6=2,3,IF(I6=3,4,5)))))</f>
        <v>0</v>
      </c>
      <c r="J32" s="46" t="n">
        <f aca="false">IF(Supuestos!$C$8=1,MAX(0,ROUNDUP((J30-J31)/Supuestos!$C$57,0)),IF(J5=1,1,IF(J6=1,2,IF(J6=2,3,IF(J6=3,4,5)))))</f>
        <v>0</v>
      </c>
      <c r="K32" s="46" t="n">
        <f aca="false">IF(Supuestos!$C$8=1,MAX(0,ROUNDUP((K30-K31)/Supuestos!$C$57,0)),IF(K5=1,1,IF(K6=1,2,IF(K6=2,3,IF(K6=3,4,5)))))</f>
        <v>0</v>
      </c>
      <c r="L32" s="46" t="n">
        <f aca="false">IF(Supuestos!$C$8=1,MAX(0,ROUNDUP((L30-L31)/Supuestos!$C$57,0)),IF(L5=1,1,IF(L6=1,2,IF(L6=2,3,IF(L6=3,4,5)))))</f>
        <v>0</v>
      </c>
      <c r="M32" s="46" t="n">
        <f aca="false">IF(Supuestos!$C$8=1,MAX(0,ROUNDUP((M30-M31)/Supuestos!$C$57,0)),IF(M5=1,1,IF(M6=1,2,IF(M6=2,3,IF(M6=3,4,5)))))</f>
        <v>0</v>
      </c>
      <c r="N32" s="46" t="n">
        <f aca="false">IF(Supuestos!$C$8=1,MAX(0,ROUNDUP((N30-N31)/Supuestos!$C$57,0)),IF(N5=1,1,IF(N6=1,2,IF(N6=2,3,IF(N6=3,4,5)))))</f>
        <v>0</v>
      </c>
      <c r="O32" s="46" t="n">
        <f aca="false">IF(Supuestos!$C$8=1,MAX(0,ROUNDUP((O30-O31)/Supuestos!$C$57,0)),IF(O5=1,1,IF(O6=1,2,IF(O6=2,3,IF(O6=3,4,5)))))</f>
        <v>0</v>
      </c>
      <c r="P32" s="46" t="n">
        <f aca="false">IF(Supuestos!$C$8=1,MAX(0,ROUNDUP((P30-P31)/Supuestos!$C$57,0)),IF(P5=1,1,IF(P6=1,2,IF(P6=2,3,IF(P6=3,4,5)))))</f>
        <v>0</v>
      </c>
      <c r="Q32" s="46" t="n">
        <f aca="false">IF(Supuestos!$C$8=1,MAX(0,ROUNDUP((Q30-Q31)/Supuestos!$C$57,0)),IF(Q5=1,1,IF(Q6=1,2,IF(Q6=2,3,IF(Q6=3,4,5)))))</f>
        <v>0</v>
      </c>
      <c r="R32" s="46" t="n">
        <f aca="false">IF(Supuestos!$C$8=1,MAX(0,ROUNDUP((R30-R31)/Supuestos!$C$57,0)),IF(R5=1,1,IF(R6=1,2,IF(R6=2,3,IF(R6=3,4,5)))))</f>
        <v>0</v>
      </c>
      <c r="S32" s="46" t="n">
        <f aca="false">IF(Supuestos!$C$8=1,MAX(0,ROUNDUP((S30-S31)/Supuestos!$C$57,0)),IF(S5=1,1,IF(S6=1,2,IF(S6=2,3,IF(S6=3,4,5)))))</f>
        <v>0</v>
      </c>
      <c r="T32" s="46" t="n">
        <f aca="false">IF(Supuestos!$C$8=1,MAX(0,ROUNDUP((T30-T31)/Supuestos!$C$57,0)),IF(T5=1,1,IF(T6=1,2,IF(T6=2,3,IF(T6=3,4,5)))))</f>
        <v>0</v>
      </c>
      <c r="U32" s="46" t="n">
        <f aca="false">IF(Supuestos!$C$8=1,MAX(0,ROUNDUP((U30-U31)/Supuestos!$C$57,0)),IF(U5=1,1,IF(U6=1,2,IF(U6=2,3,IF(U6=3,4,5)))))</f>
        <v>0</v>
      </c>
      <c r="V32" s="46" t="n">
        <f aca="false">IF(Supuestos!$C$8=1,MAX(0,ROUNDUP((V30-V31)/Supuestos!$C$57,0)),IF(V5=1,1,IF(V6=1,2,IF(V6=2,3,IF(V6=3,4,5)))))</f>
        <v>0</v>
      </c>
      <c r="W32" s="46" t="n">
        <f aca="false">IF(Supuestos!$C$8=1,MAX(0,ROUNDUP((W30-W31)/Supuestos!$C$57,0)),IF(W5=1,1,IF(W6=1,2,IF(W6=2,3,IF(W6=3,4,5)))))</f>
        <v>0</v>
      </c>
      <c r="X32" s="46" t="n">
        <f aca="false">IF(Supuestos!$C$8=1,MAX(0,ROUNDUP((X30-X31)/Supuestos!$C$57,0)),IF(X5=1,1,IF(X6=1,2,IF(X6=2,3,IF(X6=3,4,5)))))</f>
        <v>0</v>
      </c>
      <c r="Y32" s="46" t="n">
        <f aca="false">IF(Supuestos!$C$8=1,MAX(0,ROUNDUP((Y30-Y31)/Supuestos!$C$57,0)),IF(Y5=1,1,IF(Y6=1,2,IF(Y6=2,3,IF(Y6=3,4,5)))))</f>
        <v>0</v>
      </c>
      <c r="Z32" s="46" t="n">
        <f aca="false">IF(Supuestos!$C$8=1,MAX(0,ROUNDUP((Z30-Z31)/Supuestos!$C$57,0)),IF(Z5=1,1,IF(Z6=1,2,IF(Z6=2,3,IF(Z6=3,4,5)))))</f>
        <v>0</v>
      </c>
      <c r="AA32" s="46" t="n">
        <f aca="false">IF(Supuestos!$C$8=1,MAX(0,ROUNDUP((AA30-AA31)/Supuestos!$C$57,0)),IF(AA5=1,1,IF(AA6=1,2,IF(AA6=2,3,IF(AA6=3,4,5)))))</f>
        <v>0</v>
      </c>
      <c r="AB32" s="46" t="n">
        <f aca="false">IF(Supuestos!$C$8=1,MAX(0,ROUNDUP((AB30-AB31)/Supuestos!$C$57,0)),IF(AB5=1,1,IF(AB6=1,2,IF(AB6=2,3,IF(AB6=3,4,5)))))</f>
        <v>0</v>
      </c>
      <c r="AC32" s="46" t="n">
        <f aca="false">IF(Supuestos!$C$8=1,MAX(0,ROUNDUP((AC30-AC31)/Supuestos!$C$57,0)),IF(AC5=1,1,IF(AC6=1,2,IF(AC6=2,3,IF(AC6=3,4,5)))))</f>
        <v>0</v>
      </c>
      <c r="AD32" s="46" t="n">
        <f aca="false">IF(Supuestos!$C$8=1,MAX(0,ROUNDUP((AD30-AD31)/Supuestos!$C$57,0)),IF(AD5=1,1,IF(AD6=1,2,IF(AD6=2,3,IF(AD6=3,4,5)))))</f>
        <v>0</v>
      </c>
      <c r="AE32" s="46" t="n">
        <f aca="false">IF(Supuestos!$C$8=1,MAX(0,ROUNDUP((AE30-AE31)/Supuestos!$C$57,0)),IF(AE5=1,1,IF(AE6=1,2,IF(AE6=2,3,IF(AE6=3,4,5)))))</f>
        <v>0</v>
      </c>
      <c r="AF32" s="46" t="n">
        <f aca="false">IF(Supuestos!$C$8=1,MAX(0,ROUNDUP((AF30-AF31)/Supuestos!$C$57,0)),IF(AF5=1,1,IF(AF6=1,2,IF(AF6=2,3,IF(AF6=3,4,5)))))</f>
        <v>0</v>
      </c>
      <c r="AG32" s="46" t="n">
        <f aca="false">IF(Supuestos!$C$8=1,MAX(0,ROUNDUP((AG30-AG31)/Supuestos!$C$57,0)),IF(AG5=1,1,IF(AG6=1,2,IF(AG6=2,3,IF(AG6=3,4,5)))))</f>
        <v>0</v>
      </c>
      <c r="AH32" s="46" t="n">
        <f aca="false">IF(Supuestos!$C$8=1,MAX(0,ROUNDUP((AH30-AH31)/Supuestos!$C$57,0)),IF(AH5=1,1,IF(AH6=1,2,IF(AH6=2,3,IF(AH6=3,4,5)))))</f>
        <v>0</v>
      </c>
      <c r="AI32" s="46" t="n">
        <f aca="false">IF(Supuestos!$C$8=1,MAX(0,ROUNDUP((AI30-AI31)/Supuestos!$C$57,0)),IF(AI5=1,1,IF(AI6=1,2,IF(AI6=2,3,IF(AI6=3,4,5)))))</f>
        <v>0</v>
      </c>
      <c r="AJ32" s="46" t="n">
        <f aca="false">IF(Supuestos!$C$8=1,MAX(0,ROUNDUP((AJ30-AJ31)/Supuestos!$C$57,0)),IF(AJ5=1,1,IF(AJ6=1,2,IF(AJ6=2,3,IF(AJ6=3,4,5)))))</f>
        <v>0</v>
      </c>
      <c r="AK32" s="46" t="n">
        <f aca="false">IF(Supuestos!$C$8=1,MAX(0,ROUNDUP((AK30-AK31)/Supuestos!$C$57,0)),IF(AK5=1,1,IF(AK6=1,2,IF(AK6=2,3,IF(AK6=3,4,5)))))</f>
        <v>0</v>
      </c>
      <c r="AL32" s="46" t="n">
        <f aca="false">IF(Supuestos!$C$8=1,MAX(0,ROUNDUP((AL30-AL31)/Supuestos!$C$57,0)),IF(AL5=1,1,IF(AL6=1,2,IF(AL6=2,3,IF(AL6=3,4,5)))))</f>
        <v>0</v>
      </c>
      <c r="AM32" s="46" t="n">
        <f aca="false">IF(Supuestos!$C$8=1,MAX(0,ROUNDUP((AM30-AM31)/Supuestos!$C$57,0)),IF(AM5=1,1,IF(AM6=1,2,IF(AM6=2,3,IF(AM6=3,4,5)))))</f>
        <v>0</v>
      </c>
      <c r="AN32" s="46" t="n">
        <f aca="false">IF(Supuestos!$C$8=1,MAX(0,ROUNDUP((AN30-AN31)/Supuestos!$C$57,0)),IF(AN5=1,1,IF(AN6=1,2,IF(AN6=2,3,IF(AN6=3,4,5)))))</f>
        <v>0</v>
      </c>
      <c r="AO32" s="46" t="n">
        <f aca="false">IF(Supuestos!$C$8=1,MAX(0,ROUNDUP((AO30-AO31)/Supuestos!$C$57,0)),IF(AO5=1,1,IF(AO6=1,2,IF(AO6=2,3,IF(AO6=3,4,5)))))</f>
        <v>0</v>
      </c>
      <c r="AP32" s="46" t="n">
        <f aca="false">IF(Supuestos!$C$8=1,MAX(0,ROUNDUP((AP30-AP31)/Supuestos!$C$57,0)),IF(AP5=1,1,IF(AP6=1,2,IF(AP6=2,3,IF(AP6=3,4,5)))))</f>
        <v>0</v>
      </c>
      <c r="AQ32" s="46" t="n">
        <f aca="false">IF(Supuestos!$C$8=1,MAX(0,ROUNDUP((AQ30-AQ31)/Supuestos!$C$57,0)),IF(AQ5=1,1,IF(AQ6=1,2,IF(AQ6=2,3,IF(AQ6=3,4,5)))))</f>
        <v>0</v>
      </c>
      <c r="AR32" s="46" t="n">
        <f aca="false">IF(Supuestos!$C$8=1,MAX(0,ROUNDUP((AR30-AR31)/Supuestos!$C$57,0)),IF(AR5=1,1,IF(AR6=1,2,IF(AR6=2,3,IF(AR6=3,4,5)))))</f>
        <v>0</v>
      </c>
      <c r="AS32" s="46" t="n">
        <f aca="false">IF(Supuestos!$C$8=1,MAX(0,ROUNDUP((AS30-AS31)/Supuestos!$C$57,0)),IF(AS5=1,1,IF(AS6=1,2,IF(AS6=2,3,IF(AS6=3,4,5)))))</f>
        <v>0</v>
      </c>
      <c r="AT32" s="46" t="n">
        <f aca="false">IF(Supuestos!$C$8=1,MAX(0,ROUNDUP((AT30-AT31)/Supuestos!$C$57,0)),IF(AT5=1,1,IF(AT6=1,2,IF(AT6=2,3,IF(AT6=3,4,5)))))</f>
        <v>0</v>
      </c>
      <c r="AU32" s="46" t="n">
        <f aca="false">IF(Supuestos!$C$8=1,MAX(0,ROUNDUP((AU30-AU31)/Supuestos!$C$57,0)),IF(AU5=1,1,IF(AU6=1,2,IF(AU6=2,3,IF(AU6=3,4,5)))))</f>
        <v>0</v>
      </c>
      <c r="AV32" s="46" t="n">
        <f aca="false">IF(Supuestos!$C$8=1,MAX(0,ROUNDUP((AV30-AV31)/Supuestos!$C$57,0)),IF(AV5=1,1,IF(AV6=1,2,IF(AV6=2,3,IF(AV6=3,4,5)))))</f>
        <v>0</v>
      </c>
      <c r="AW32" s="46" t="n">
        <f aca="false">IF(Supuestos!$C$8=1,MAX(0,ROUNDUP((AW30-AW31)/Supuestos!$C$57,0)),IF(AW5=1,1,IF(AW6=1,2,IF(AW6=2,3,IF(AW6=3,4,5)))))</f>
        <v>0</v>
      </c>
      <c r="AX32" s="46" t="n">
        <f aca="false">IF(Supuestos!$C$8=1,MAX(0,ROUNDUP((AX30-AX31)/Supuestos!$C$57,0)),IF(AX5=1,1,IF(AX6=1,2,IF(AX6=2,3,IF(AX6=3,4,5)))))</f>
        <v>0</v>
      </c>
      <c r="AY32" s="46" t="n">
        <f aca="false">IF(Supuestos!$C$8=1,MAX(0,ROUNDUP((AY30-AY31)/Supuestos!$C$57,0)),IF(AY5=1,1,IF(AY6=1,2,IF(AY6=2,3,IF(AY6=3,4,5)))))</f>
        <v>0</v>
      </c>
      <c r="AZ32" s="46" t="n">
        <f aca="false">IF(Supuestos!$C$8=1,MAX(0,ROUNDUP((AZ30-AZ31)/Supuestos!$C$57,0)),IF(AZ5=1,1,IF(AZ6=1,2,IF(AZ6=2,3,IF(AZ6=3,4,5)))))</f>
        <v>0</v>
      </c>
      <c r="BA32" s="46" t="n">
        <f aca="false">IF(Supuestos!$C$8=1,MAX(0,ROUNDUP((BA30-BA31)/Supuestos!$C$57,0)),IF(BA5=1,1,IF(BA6=1,2,IF(BA6=2,3,IF(BA6=3,4,5)))))</f>
        <v>0</v>
      </c>
      <c r="BB32" s="46" t="n">
        <f aca="false">IF(Supuestos!$C$8=1,MAX(0,ROUNDUP((BB30-BB31)/Supuestos!$C$57,0)),IF(BB5=1,1,IF(BB6=1,2,IF(BB6=2,3,IF(BB6=3,4,5)))))</f>
        <v>1</v>
      </c>
      <c r="BC32" s="46" t="n">
        <f aca="false">IF(Supuestos!$C$8=1,MAX(0,ROUNDUP((BC30-BC31)/Supuestos!$C$57,0)),IF(BC5=1,1,IF(BC6=1,2,IF(BC6=2,3,IF(BC6=3,4,5)))))</f>
        <v>1</v>
      </c>
      <c r="BD32" s="46" t="n">
        <f aca="false">IF(Supuestos!$C$8=1,MAX(0,ROUNDUP((BD30-BD31)/Supuestos!$C$57,0)),IF(BD5=1,1,IF(BD6=1,2,IF(BD6=2,3,IF(BD6=3,4,5)))))</f>
        <v>1</v>
      </c>
      <c r="BE32" s="46" t="n">
        <f aca="false">IF(Supuestos!$C$8=1,MAX(0,ROUNDUP((BE30-BE31)/Supuestos!$C$57,0)),IF(BE5=1,1,IF(BE6=1,2,IF(BE6=2,3,IF(BE6=3,4,5)))))</f>
        <v>1</v>
      </c>
      <c r="BF32" s="46" t="n">
        <f aca="false">IF(Supuestos!$C$8=1,MAX(0,ROUNDUP((BF30-BF31)/Supuestos!$C$57,0)),IF(BF5=1,1,IF(BF6=1,2,IF(BF6=2,3,IF(BF6=3,4,5)))))</f>
        <v>1</v>
      </c>
      <c r="BG32" s="46" t="n">
        <f aca="false">IF(Supuestos!$C$8=1,MAX(0,ROUNDUP((BG30-BG31)/Supuestos!$C$57,0)),IF(BG5=1,1,IF(BG6=1,2,IF(BG6=2,3,IF(BG6=3,4,5)))))</f>
        <v>1</v>
      </c>
      <c r="BH32" s="46" t="n">
        <f aca="false">IF(Supuestos!$C$8=1,MAX(0,ROUNDUP((BH30-BH31)/Supuestos!$C$57,0)),IF(BH5=1,1,IF(BH6=1,2,IF(BH6=2,3,IF(BH6=3,4,5)))))</f>
        <v>1</v>
      </c>
      <c r="BI32" s="46" t="n">
        <f aca="false">IF(Supuestos!$C$8=1,MAX(0,ROUNDUP((BI30-BI31)/Supuestos!$C$57,0)),IF(BI5=1,1,IF(BI6=1,2,IF(BI6=2,3,IF(BI6=3,4,5)))))</f>
        <v>1</v>
      </c>
      <c r="BJ32" s="46" t="n">
        <f aca="false">IF(Supuestos!$C$8=1,MAX(0,ROUNDUP((BJ30-BJ31)/Supuestos!$C$57,0)),IF(BJ5=1,1,IF(BJ6=1,2,IF(BJ6=2,3,IF(BJ6=3,4,5)))))</f>
        <v>1</v>
      </c>
    </row>
    <row r="33" customFormat="false" ht="15" hidden="false" customHeight="true" outlineLevel="0" collapsed="false">
      <c r="A33" s="10" t="s">
        <v>259</v>
      </c>
      <c r="B33" s="7" t="s">
        <v>146</v>
      </c>
      <c r="C33" s="43" t="n">
        <f aca="false">Supuestos!$C$50*(1+Supuestos!$C$39)^(C6-1)*(1+Supuestos!$C$48)+IF(Supuestos!$C$50*(1+Supuestos!$C$39)^(C6-1)&lt;=2*Supuestos!$C$37*(1+Supuestos!$C$39)^(C6-1),Supuestos!$C$38*(1+Supuestos!$C$39)^(C6-1)*(1+Supuestos!$C$49),0)</f>
        <v>3060125.177</v>
      </c>
      <c r="D33" s="43" t="n">
        <f aca="false">Supuestos!$C$50*(1+Supuestos!$C$39)^(D6-1)*(1+Supuestos!$C$48)+IF(Supuestos!$C$50*(1+Supuestos!$C$39)^(D6-1)&lt;=2*Supuestos!$C$37*(1+Supuestos!$C$39)^(D6-1),Supuestos!$C$38*(1+Supuestos!$C$39)^(D6-1)*(1+Supuestos!$C$49),0)</f>
        <v>3060125.177</v>
      </c>
      <c r="E33" s="43" t="n">
        <f aca="false">Supuestos!$C$50*(1+Supuestos!$C$39)^(E6-1)*(1+Supuestos!$C$48)+IF(Supuestos!$C$50*(1+Supuestos!$C$39)^(E6-1)&lt;=2*Supuestos!$C$37*(1+Supuestos!$C$39)^(E6-1),Supuestos!$C$38*(1+Supuestos!$C$39)^(E6-1)*(1+Supuestos!$C$49),0)</f>
        <v>3060125.177</v>
      </c>
      <c r="F33" s="43" t="n">
        <f aca="false">Supuestos!$C$50*(1+Supuestos!$C$39)^(F6-1)*(1+Supuestos!$C$48)+IF(Supuestos!$C$50*(1+Supuestos!$C$39)^(F6-1)&lt;=2*Supuestos!$C$37*(1+Supuestos!$C$39)^(F6-1),Supuestos!$C$38*(1+Supuestos!$C$39)^(F6-1)*(1+Supuestos!$C$49),0)</f>
        <v>3060125.177</v>
      </c>
      <c r="G33" s="43" t="n">
        <f aca="false">Supuestos!$C$50*(1+Supuestos!$C$39)^(G6-1)*(1+Supuestos!$C$48)+IF(Supuestos!$C$50*(1+Supuestos!$C$39)^(G6-1)&lt;=2*Supuestos!$C$37*(1+Supuestos!$C$39)^(G6-1),Supuestos!$C$38*(1+Supuestos!$C$39)^(G6-1)*(1+Supuestos!$C$49),0)</f>
        <v>3060125.177</v>
      </c>
      <c r="H33" s="43" t="n">
        <f aca="false">Supuestos!$C$50*(1+Supuestos!$C$39)^(H6-1)*(1+Supuestos!$C$48)+IF(Supuestos!$C$50*(1+Supuestos!$C$39)^(H6-1)&lt;=2*Supuestos!$C$37*(1+Supuestos!$C$39)^(H6-1),Supuestos!$C$38*(1+Supuestos!$C$39)^(H6-1)*(1+Supuestos!$C$49),0)</f>
        <v>3060125.177</v>
      </c>
      <c r="I33" s="43" t="n">
        <f aca="false">Supuestos!$C$50*(1+Supuestos!$C$39)^(I6-1)*(1+Supuestos!$C$48)+IF(Supuestos!$C$50*(1+Supuestos!$C$39)^(I6-1)&lt;=2*Supuestos!$C$37*(1+Supuestos!$C$39)^(I6-1),Supuestos!$C$38*(1+Supuestos!$C$39)^(I6-1)*(1+Supuestos!$C$49),0)</f>
        <v>3060125.177</v>
      </c>
      <c r="J33" s="43" t="n">
        <f aca="false">Supuestos!$C$50*(1+Supuestos!$C$39)^(J6-1)*(1+Supuestos!$C$48)+IF(Supuestos!$C$50*(1+Supuestos!$C$39)^(J6-1)&lt;=2*Supuestos!$C$37*(1+Supuestos!$C$39)^(J6-1),Supuestos!$C$38*(1+Supuestos!$C$39)^(J6-1)*(1+Supuestos!$C$49),0)</f>
        <v>3060125.177</v>
      </c>
      <c r="K33" s="43" t="n">
        <f aca="false">Supuestos!$C$50*(1+Supuestos!$C$39)^(K6-1)*(1+Supuestos!$C$48)+IF(Supuestos!$C$50*(1+Supuestos!$C$39)^(K6-1)&lt;=2*Supuestos!$C$37*(1+Supuestos!$C$39)^(K6-1),Supuestos!$C$38*(1+Supuestos!$C$39)^(K6-1)*(1+Supuestos!$C$49),0)</f>
        <v>3060125.177</v>
      </c>
      <c r="L33" s="43" t="n">
        <f aca="false">Supuestos!$C$50*(1+Supuestos!$C$39)^(L6-1)*(1+Supuestos!$C$48)+IF(Supuestos!$C$50*(1+Supuestos!$C$39)^(L6-1)&lt;=2*Supuestos!$C$37*(1+Supuestos!$C$39)^(L6-1),Supuestos!$C$38*(1+Supuestos!$C$39)^(L6-1)*(1+Supuestos!$C$49),0)</f>
        <v>3060125.177</v>
      </c>
      <c r="M33" s="43" t="n">
        <f aca="false">Supuestos!$C$50*(1+Supuestos!$C$39)^(M6-1)*(1+Supuestos!$C$48)+IF(Supuestos!$C$50*(1+Supuestos!$C$39)^(M6-1)&lt;=2*Supuestos!$C$37*(1+Supuestos!$C$39)^(M6-1),Supuestos!$C$38*(1+Supuestos!$C$39)^(M6-1)*(1+Supuestos!$C$49),0)</f>
        <v>3060125.177</v>
      </c>
      <c r="N33" s="43" t="n">
        <f aca="false">Supuestos!$C$50*(1+Supuestos!$C$39)^(N6-1)*(1+Supuestos!$C$48)+IF(Supuestos!$C$50*(1+Supuestos!$C$39)^(N6-1)&lt;=2*Supuestos!$C$37*(1+Supuestos!$C$39)^(N6-1),Supuestos!$C$38*(1+Supuestos!$C$39)^(N6-1)*(1+Supuestos!$C$49),0)</f>
        <v>3060125.177</v>
      </c>
      <c r="O33" s="43" t="n">
        <f aca="false">Supuestos!$C$50*(1+Supuestos!$C$39)^(O6-1)*(1+Supuestos!$C$48)+IF(Supuestos!$C$50*(1+Supuestos!$C$39)^(O6-1)&lt;=2*Supuestos!$C$37*(1+Supuestos!$C$39)^(O6-1),Supuestos!$C$38*(1+Supuestos!$C$39)^(O6-1)*(1+Supuestos!$C$49),0)</f>
        <v>3213131.43585</v>
      </c>
      <c r="P33" s="43" t="n">
        <f aca="false">Supuestos!$C$50*(1+Supuestos!$C$39)^(P6-1)*(1+Supuestos!$C$48)+IF(Supuestos!$C$50*(1+Supuestos!$C$39)^(P6-1)&lt;=2*Supuestos!$C$37*(1+Supuestos!$C$39)^(P6-1),Supuestos!$C$38*(1+Supuestos!$C$39)^(P6-1)*(1+Supuestos!$C$49),0)</f>
        <v>3213131.43585</v>
      </c>
      <c r="Q33" s="43" t="n">
        <f aca="false">Supuestos!$C$50*(1+Supuestos!$C$39)^(Q6-1)*(1+Supuestos!$C$48)+IF(Supuestos!$C$50*(1+Supuestos!$C$39)^(Q6-1)&lt;=2*Supuestos!$C$37*(1+Supuestos!$C$39)^(Q6-1),Supuestos!$C$38*(1+Supuestos!$C$39)^(Q6-1)*(1+Supuestos!$C$49),0)</f>
        <v>3213131.43585</v>
      </c>
      <c r="R33" s="43" t="n">
        <f aca="false">Supuestos!$C$50*(1+Supuestos!$C$39)^(R6-1)*(1+Supuestos!$C$48)+IF(Supuestos!$C$50*(1+Supuestos!$C$39)^(R6-1)&lt;=2*Supuestos!$C$37*(1+Supuestos!$C$39)^(R6-1),Supuestos!$C$38*(1+Supuestos!$C$39)^(R6-1)*(1+Supuestos!$C$49),0)</f>
        <v>3213131.43585</v>
      </c>
      <c r="S33" s="43" t="n">
        <f aca="false">Supuestos!$C$50*(1+Supuestos!$C$39)^(S6-1)*(1+Supuestos!$C$48)+IF(Supuestos!$C$50*(1+Supuestos!$C$39)^(S6-1)&lt;=2*Supuestos!$C$37*(1+Supuestos!$C$39)^(S6-1),Supuestos!$C$38*(1+Supuestos!$C$39)^(S6-1)*(1+Supuestos!$C$49),0)</f>
        <v>3213131.43585</v>
      </c>
      <c r="T33" s="43" t="n">
        <f aca="false">Supuestos!$C$50*(1+Supuestos!$C$39)^(T6-1)*(1+Supuestos!$C$48)+IF(Supuestos!$C$50*(1+Supuestos!$C$39)^(T6-1)&lt;=2*Supuestos!$C$37*(1+Supuestos!$C$39)^(T6-1),Supuestos!$C$38*(1+Supuestos!$C$39)^(T6-1)*(1+Supuestos!$C$49),0)</f>
        <v>3213131.43585</v>
      </c>
      <c r="U33" s="43" t="n">
        <f aca="false">Supuestos!$C$50*(1+Supuestos!$C$39)^(U6-1)*(1+Supuestos!$C$48)+IF(Supuestos!$C$50*(1+Supuestos!$C$39)^(U6-1)&lt;=2*Supuestos!$C$37*(1+Supuestos!$C$39)^(U6-1),Supuestos!$C$38*(1+Supuestos!$C$39)^(U6-1)*(1+Supuestos!$C$49),0)</f>
        <v>3213131.43585</v>
      </c>
      <c r="V33" s="43" t="n">
        <f aca="false">Supuestos!$C$50*(1+Supuestos!$C$39)^(V6-1)*(1+Supuestos!$C$48)+IF(Supuestos!$C$50*(1+Supuestos!$C$39)^(V6-1)&lt;=2*Supuestos!$C$37*(1+Supuestos!$C$39)^(V6-1),Supuestos!$C$38*(1+Supuestos!$C$39)^(V6-1)*(1+Supuestos!$C$49),0)</f>
        <v>3213131.43585</v>
      </c>
      <c r="W33" s="43" t="n">
        <f aca="false">Supuestos!$C$50*(1+Supuestos!$C$39)^(W6-1)*(1+Supuestos!$C$48)+IF(Supuestos!$C$50*(1+Supuestos!$C$39)^(W6-1)&lt;=2*Supuestos!$C$37*(1+Supuestos!$C$39)^(W6-1),Supuestos!$C$38*(1+Supuestos!$C$39)^(W6-1)*(1+Supuestos!$C$49),0)</f>
        <v>3213131.43585</v>
      </c>
      <c r="X33" s="43" t="n">
        <f aca="false">Supuestos!$C$50*(1+Supuestos!$C$39)^(X6-1)*(1+Supuestos!$C$48)+IF(Supuestos!$C$50*(1+Supuestos!$C$39)^(X6-1)&lt;=2*Supuestos!$C$37*(1+Supuestos!$C$39)^(X6-1),Supuestos!$C$38*(1+Supuestos!$C$39)^(X6-1)*(1+Supuestos!$C$49),0)</f>
        <v>3213131.43585</v>
      </c>
      <c r="Y33" s="43" t="n">
        <f aca="false">Supuestos!$C$50*(1+Supuestos!$C$39)^(Y6-1)*(1+Supuestos!$C$48)+IF(Supuestos!$C$50*(1+Supuestos!$C$39)^(Y6-1)&lt;=2*Supuestos!$C$37*(1+Supuestos!$C$39)^(Y6-1),Supuestos!$C$38*(1+Supuestos!$C$39)^(Y6-1)*(1+Supuestos!$C$49),0)</f>
        <v>3213131.43585</v>
      </c>
      <c r="Z33" s="43" t="n">
        <f aca="false">Supuestos!$C$50*(1+Supuestos!$C$39)^(Z6-1)*(1+Supuestos!$C$48)+IF(Supuestos!$C$50*(1+Supuestos!$C$39)^(Z6-1)&lt;=2*Supuestos!$C$37*(1+Supuestos!$C$39)^(Z6-1),Supuestos!$C$38*(1+Supuestos!$C$39)^(Z6-1)*(1+Supuestos!$C$49),0)</f>
        <v>3213131.43585</v>
      </c>
      <c r="AA33" s="43" t="n">
        <f aca="false">Supuestos!$C$50*(1+Supuestos!$C$39)^(AA6-1)*(1+Supuestos!$C$48)+IF(Supuestos!$C$50*(1+Supuestos!$C$39)^(AA6-1)&lt;=2*Supuestos!$C$37*(1+Supuestos!$C$39)^(AA6-1),Supuestos!$C$38*(1+Supuestos!$C$39)^(AA6-1)*(1+Supuestos!$C$49),0)</f>
        <v>3373788.0076425</v>
      </c>
      <c r="AB33" s="43" t="n">
        <f aca="false">Supuestos!$C$50*(1+Supuestos!$C$39)^(AB6-1)*(1+Supuestos!$C$48)+IF(Supuestos!$C$50*(1+Supuestos!$C$39)^(AB6-1)&lt;=2*Supuestos!$C$37*(1+Supuestos!$C$39)^(AB6-1),Supuestos!$C$38*(1+Supuestos!$C$39)^(AB6-1)*(1+Supuestos!$C$49),0)</f>
        <v>3373788.0076425</v>
      </c>
      <c r="AC33" s="43" t="n">
        <f aca="false">Supuestos!$C$50*(1+Supuestos!$C$39)^(AC6-1)*(1+Supuestos!$C$48)+IF(Supuestos!$C$50*(1+Supuestos!$C$39)^(AC6-1)&lt;=2*Supuestos!$C$37*(1+Supuestos!$C$39)^(AC6-1),Supuestos!$C$38*(1+Supuestos!$C$39)^(AC6-1)*(1+Supuestos!$C$49),0)</f>
        <v>3373788.0076425</v>
      </c>
      <c r="AD33" s="43" t="n">
        <f aca="false">Supuestos!$C$50*(1+Supuestos!$C$39)^(AD6-1)*(1+Supuestos!$C$48)+IF(Supuestos!$C$50*(1+Supuestos!$C$39)^(AD6-1)&lt;=2*Supuestos!$C$37*(1+Supuestos!$C$39)^(AD6-1),Supuestos!$C$38*(1+Supuestos!$C$39)^(AD6-1)*(1+Supuestos!$C$49),0)</f>
        <v>3373788.0076425</v>
      </c>
      <c r="AE33" s="43" t="n">
        <f aca="false">Supuestos!$C$50*(1+Supuestos!$C$39)^(AE6-1)*(1+Supuestos!$C$48)+IF(Supuestos!$C$50*(1+Supuestos!$C$39)^(AE6-1)&lt;=2*Supuestos!$C$37*(1+Supuestos!$C$39)^(AE6-1),Supuestos!$C$38*(1+Supuestos!$C$39)^(AE6-1)*(1+Supuestos!$C$49),0)</f>
        <v>3373788.0076425</v>
      </c>
      <c r="AF33" s="43" t="n">
        <f aca="false">Supuestos!$C$50*(1+Supuestos!$C$39)^(AF6-1)*(1+Supuestos!$C$48)+IF(Supuestos!$C$50*(1+Supuestos!$C$39)^(AF6-1)&lt;=2*Supuestos!$C$37*(1+Supuestos!$C$39)^(AF6-1),Supuestos!$C$38*(1+Supuestos!$C$39)^(AF6-1)*(1+Supuestos!$C$49),0)</f>
        <v>3373788.0076425</v>
      </c>
      <c r="AG33" s="43" t="n">
        <f aca="false">Supuestos!$C$50*(1+Supuestos!$C$39)^(AG6-1)*(1+Supuestos!$C$48)+IF(Supuestos!$C$50*(1+Supuestos!$C$39)^(AG6-1)&lt;=2*Supuestos!$C$37*(1+Supuestos!$C$39)^(AG6-1),Supuestos!$C$38*(1+Supuestos!$C$39)^(AG6-1)*(1+Supuestos!$C$49),0)</f>
        <v>3373788.0076425</v>
      </c>
      <c r="AH33" s="43" t="n">
        <f aca="false">Supuestos!$C$50*(1+Supuestos!$C$39)^(AH6-1)*(1+Supuestos!$C$48)+IF(Supuestos!$C$50*(1+Supuestos!$C$39)^(AH6-1)&lt;=2*Supuestos!$C$37*(1+Supuestos!$C$39)^(AH6-1),Supuestos!$C$38*(1+Supuestos!$C$39)^(AH6-1)*(1+Supuestos!$C$49),0)</f>
        <v>3373788.0076425</v>
      </c>
      <c r="AI33" s="43" t="n">
        <f aca="false">Supuestos!$C$50*(1+Supuestos!$C$39)^(AI6-1)*(1+Supuestos!$C$48)+IF(Supuestos!$C$50*(1+Supuestos!$C$39)^(AI6-1)&lt;=2*Supuestos!$C$37*(1+Supuestos!$C$39)^(AI6-1),Supuestos!$C$38*(1+Supuestos!$C$39)^(AI6-1)*(1+Supuestos!$C$49),0)</f>
        <v>3373788.0076425</v>
      </c>
      <c r="AJ33" s="43" t="n">
        <f aca="false">Supuestos!$C$50*(1+Supuestos!$C$39)^(AJ6-1)*(1+Supuestos!$C$48)+IF(Supuestos!$C$50*(1+Supuestos!$C$39)^(AJ6-1)&lt;=2*Supuestos!$C$37*(1+Supuestos!$C$39)^(AJ6-1),Supuestos!$C$38*(1+Supuestos!$C$39)^(AJ6-1)*(1+Supuestos!$C$49),0)</f>
        <v>3373788.0076425</v>
      </c>
      <c r="AK33" s="43" t="n">
        <f aca="false">Supuestos!$C$50*(1+Supuestos!$C$39)^(AK6-1)*(1+Supuestos!$C$48)+IF(Supuestos!$C$50*(1+Supuestos!$C$39)^(AK6-1)&lt;=2*Supuestos!$C$37*(1+Supuestos!$C$39)^(AK6-1),Supuestos!$C$38*(1+Supuestos!$C$39)^(AK6-1)*(1+Supuestos!$C$49),0)</f>
        <v>3373788.0076425</v>
      </c>
      <c r="AL33" s="43" t="n">
        <f aca="false">Supuestos!$C$50*(1+Supuestos!$C$39)^(AL6-1)*(1+Supuestos!$C$48)+IF(Supuestos!$C$50*(1+Supuestos!$C$39)^(AL6-1)&lt;=2*Supuestos!$C$37*(1+Supuestos!$C$39)^(AL6-1),Supuestos!$C$38*(1+Supuestos!$C$39)^(AL6-1)*(1+Supuestos!$C$49),0)</f>
        <v>3373788.0076425</v>
      </c>
      <c r="AM33" s="43" t="n">
        <f aca="false">Supuestos!$C$50*(1+Supuestos!$C$39)^(AM6-1)*(1+Supuestos!$C$48)+IF(Supuestos!$C$50*(1+Supuestos!$C$39)^(AM6-1)&lt;=2*Supuestos!$C$37*(1+Supuestos!$C$39)^(AM6-1),Supuestos!$C$38*(1+Supuestos!$C$39)^(AM6-1)*(1+Supuestos!$C$49),0)</f>
        <v>3542477.40802463</v>
      </c>
      <c r="AN33" s="43" t="n">
        <f aca="false">Supuestos!$C$50*(1+Supuestos!$C$39)^(AN6-1)*(1+Supuestos!$C$48)+IF(Supuestos!$C$50*(1+Supuestos!$C$39)^(AN6-1)&lt;=2*Supuestos!$C$37*(1+Supuestos!$C$39)^(AN6-1),Supuestos!$C$38*(1+Supuestos!$C$39)^(AN6-1)*(1+Supuestos!$C$49),0)</f>
        <v>3542477.40802463</v>
      </c>
      <c r="AO33" s="43" t="n">
        <f aca="false">Supuestos!$C$50*(1+Supuestos!$C$39)^(AO6-1)*(1+Supuestos!$C$48)+IF(Supuestos!$C$50*(1+Supuestos!$C$39)^(AO6-1)&lt;=2*Supuestos!$C$37*(1+Supuestos!$C$39)^(AO6-1),Supuestos!$C$38*(1+Supuestos!$C$39)^(AO6-1)*(1+Supuestos!$C$49),0)</f>
        <v>3542477.40802463</v>
      </c>
      <c r="AP33" s="43" t="n">
        <f aca="false">Supuestos!$C$50*(1+Supuestos!$C$39)^(AP6-1)*(1+Supuestos!$C$48)+IF(Supuestos!$C$50*(1+Supuestos!$C$39)^(AP6-1)&lt;=2*Supuestos!$C$37*(1+Supuestos!$C$39)^(AP6-1),Supuestos!$C$38*(1+Supuestos!$C$39)^(AP6-1)*(1+Supuestos!$C$49),0)</f>
        <v>3542477.40802463</v>
      </c>
      <c r="AQ33" s="43" t="n">
        <f aca="false">Supuestos!$C$50*(1+Supuestos!$C$39)^(AQ6-1)*(1+Supuestos!$C$48)+IF(Supuestos!$C$50*(1+Supuestos!$C$39)^(AQ6-1)&lt;=2*Supuestos!$C$37*(1+Supuestos!$C$39)^(AQ6-1),Supuestos!$C$38*(1+Supuestos!$C$39)^(AQ6-1)*(1+Supuestos!$C$49),0)</f>
        <v>3542477.40802463</v>
      </c>
      <c r="AR33" s="43" t="n">
        <f aca="false">Supuestos!$C$50*(1+Supuestos!$C$39)^(AR6-1)*(1+Supuestos!$C$48)+IF(Supuestos!$C$50*(1+Supuestos!$C$39)^(AR6-1)&lt;=2*Supuestos!$C$37*(1+Supuestos!$C$39)^(AR6-1),Supuestos!$C$38*(1+Supuestos!$C$39)^(AR6-1)*(1+Supuestos!$C$49),0)</f>
        <v>3542477.40802463</v>
      </c>
      <c r="AS33" s="43" t="n">
        <f aca="false">Supuestos!$C$50*(1+Supuestos!$C$39)^(AS6-1)*(1+Supuestos!$C$48)+IF(Supuestos!$C$50*(1+Supuestos!$C$39)^(AS6-1)&lt;=2*Supuestos!$C$37*(1+Supuestos!$C$39)^(AS6-1),Supuestos!$C$38*(1+Supuestos!$C$39)^(AS6-1)*(1+Supuestos!$C$49),0)</f>
        <v>3542477.40802463</v>
      </c>
      <c r="AT33" s="43" t="n">
        <f aca="false">Supuestos!$C$50*(1+Supuestos!$C$39)^(AT6-1)*(1+Supuestos!$C$48)+IF(Supuestos!$C$50*(1+Supuestos!$C$39)^(AT6-1)&lt;=2*Supuestos!$C$37*(1+Supuestos!$C$39)^(AT6-1),Supuestos!$C$38*(1+Supuestos!$C$39)^(AT6-1)*(1+Supuestos!$C$49),0)</f>
        <v>3542477.40802463</v>
      </c>
      <c r="AU33" s="43" t="n">
        <f aca="false">Supuestos!$C$50*(1+Supuestos!$C$39)^(AU6-1)*(1+Supuestos!$C$48)+IF(Supuestos!$C$50*(1+Supuestos!$C$39)^(AU6-1)&lt;=2*Supuestos!$C$37*(1+Supuestos!$C$39)^(AU6-1),Supuestos!$C$38*(1+Supuestos!$C$39)^(AU6-1)*(1+Supuestos!$C$49),0)</f>
        <v>3542477.40802463</v>
      </c>
      <c r="AV33" s="43" t="n">
        <f aca="false">Supuestos!$C$50*(1+Supuestos!$C$39)^(AV6-1)*(1+Supuestos!$C$48)+IF(Supuestos!$C$50*(1+Supuestos!$C$39)^(AV6-1)&lt;=2*Supuestos!$C$37*(1+Supuestos!$C$39)^(AV6-1),Supuestos!$C$38*(1+Supuestos!$C$39)^(AV6-1)*(1+Supuestos!$C$49),0)</f>
        <v>3542477.40802463</v>
      </c>
      <c r="AW33" s="43" t="n">
        <f aca="false">Supuestos!$C$50*(1+Supuestos!$C$39)^(AW6-1)*(1+Supuestos!$C$48)+IF(Supuestos!$C$50*(1+Supuestos!$C$39)^(AW6-1)&lt;=2*Supuestos!$C$37*(1+Supuestos!$C$39)^(AW6-1),Supuestos!$C$38*(1+Supuestos!$C$39)^(AW6-1)*(1+Supuestos!$C$49),0)</f>
        <v>3542477.40802463</v>
      </c>
      <c r="AX33" s="43" t="n">
        <f aca="false">Supuestos!$C$50*(1+Supuestos!$C$39)^(AX6-1)*(1+Supuestos!$C$48)+IF(Supuestos!$C$50*(1+Supuestos!$C$39)^(AX6-1)&lt;=2*Supuestos!$C$37*(1+Supuestos!$C$39)^(AX6-1),Supuestos!$C$38*(1+Supuestos!$C$39)^(AX6-1)*(1+Supuestos!$C$49),0)</f>
        <v>3542477.40802463</v>
      </c>
      <c r="AY33" s="43" t="n">
        <f aca="false">Supuestos!$C$50*(1+Supuestos!$C$39)^(AY6-1)*(1+Supuestos!$C$48)+IF(Supuestos!$C$50*(1+Supuestos!$C$39)^(AY6-1)&lt;=2*Supuestos!$C$37*(1+Supuestos!$C$39)^(AY6-1),Supuestos!$C$38*(1+Supuestos!$C$39)^(AY6-1)*(1+Supuestos!$C$49),0)</f>
        <v>3719601.27842586</v>
      </c>
      <c r="AZ33" s="43" t="n">
        <f aca="false">Supuestos!$C$50*(1+Supuestos!$C$39)^(AZ6-1)*(1+Supuestos!$C$48)+IF(Supuestos!$C$50*(1+Supuestos!$C$39)^(AZ6-1)&lt;=2*Supuestos!$C$37*(1+Supuestos!$C$39)^(AZ6-1),Supuestos!$C$38*(1+Supuestos!$C$39)^(AZ6-1)*(1+Supuestos!$C$49),0)</f>
        <v>3719601.27842586</v>
      </c>
      <c r="BA33" s="43" t="n">
        <f aca="false">Supuestos!$C$50*(1+Supuestos!$C$39)^(BA6-1)*(1+Supuestos!$C$48)+IF(Supuestos!$C$50*(1+Supuestos!$C$39)^(BA6-1)&lt;=2*Supuestos!$C$37*(1+Supuestos!$C$39)^(BA6-1),Supuestos!$C$38*(1+Supuestos!$C$39)^(BA6-1)*(1+Supuestos!$C$49),0)</f>
        <v>3719601.27842586</v>
      </c>
      <c r="BB33" s="43" t="n">
        <f aca="false">Supuestos!$C$50*(1+Supuestos!$C$39)^(BB6-1)*(1+Supuestos!$C$48)+IF(Supuestos!$C$50*(1+Supuestos!$C$39)^(BB6-1)&lt;=2*Supuestos!$C$37*(1+Supuestos!$C$39)^(BB6-1),Supuestos!$C$38*(1+Supuestos!$C$39)^(BB6-1)*(1+Supuestos!$C$49),0)</f>
        <v>3719601.27842586</v>
      </c>
      <c r="BC33" s="43" t="n">
        <f aca="false">Supuestos!$C$50*(1+Supuestos!$C$39)^(BC6-1)*(1+Supuestos!$C$48)+IF(Supuestos!$C$50*(1+Supuestos!$C$39)^(BC6-1)&lt;=2*Supuestos!$C$37*(1+Supuestos!$C$39)^(BC6-1),Supuestos!$C$38*(1+Supuestos!$C$39)^(BC6-1)*(1+Supuestos!$C$49),0)</f>
        <v>3719601.27842586</v>
      </c>
      <c r="BD33" s="43" t="n">
        <f aca="false">Supuestos!$C$50*(1+Supuestos!$C$39)^(BD6-1)*(1+Supuestos!$C$48)+IF(Supuestos!$C$50*(1+Supuestos!$C$39)^(BD6-1)&lt;=2*Supuestos!$C$37*(1+Supuestos!$C$39)^(BD6-1),Supuestos!$C$38*(1+Supuestos!$C$39)^(BD6-1)*(1+Supuestos!$C$49),0)</f>
        <v>3719601.27842586</v>
      </c>
      <c r="BE33" s="43" t="n">
        <f aca="false">Supuestos!$C$50*(1+Supuestos!$C$39)^(BE6-1)*(1+Supuestos!$C$48)+IF(Supuestos!$C$50*(1+Supuestos!$C$39)^(BE6-1)&lt;=2*Supuestos!$C$37*(1+Supuestos!$C$39)^(BE6-1),Supuestos!$C$38*(1+Supuestos!$C$39)^(BE6-1)*(1+Supuestos!$C$49),0)</f>
        <v>3719601.27842586</v>
      </c>
      <c r="BF33" s="43" t="n">
        <f aca="false">Supuestos!$C$50*(1+Supuestos!$C$39)^(BF6-1)*(1+Supuestos!$C$48)+IF(Supuestos!$C$50*(1+Supuestos!$C$39)^(BF6-1)&lt;=2*Supuestos!$C$37*(1+Supuestos!$C$39)^(BF6-1),Supuestos!$C$38*(1+Supuestos!$C$39)^(BF6-1)*(1+Supuestos!$C$49),0)</f>
        <v>3719601.27842586</v>
      </c>
      <c r="BG33" s="43" t="n">
        <f aca="false">Supuestos!$C$50*(1+Supuestos!$C$39)^(BG6-1)*(1+Supuestos!$C$48)+IF(Supuestos!$C$50*(1+Supuestos!$C$39)^(BG6-1)&lt;=2*Supuestos!$C$37*(1+Supuestos!$C$39)^(BG6-1),Supuestos!$C$38*(1+Supuestos!$C$39)^(BG6-1)*(1+Supuestos!$C$49),0)</f>
        <v>3719601.27842586</v>
      </c>
      <c r="BH33" s="43" t="n">
        <f aca="false">Supuestos!$C$50*(1+Supuestos!$C$39)^(BH6-1)*(1+Supuestos!$C$48)+IF(Supuestos!$C$50*(1+Supuestos!$C$39)^(BH6-1)&lt;=2*Supuestos!$C$37*(1+Supuestos!$C$39)^(BH6-1),Supuestos!$C$38*(1+Supuestos!$C$39)^(BH6-1)*(1+Supuestos!$C$49),0)</f>
        <v>3719601.27842586</v>
      </c>
      <c r="BI33" s="43" t="n">
        <f aca="false">Supuestos!$C$50*(1+Supuestos!$C$39)^(BI6-1)*(1+Supuestos!$C$48)+IF(Supuestos!$C$50*(1+Supuestos!$C$39)^(BI6-1)&lt;=2*Supuestos!$C$37*(1+Supuestos!$C$39)^(BI6-1),Supuestos!$C$38*(1+Supuestos!$C$39)^(BI6-1)*(1+Supuestos!$C$49),0)</f>
        <v>3719601.27842586</v>
      </c>
      <c r="BJ33" s="43" t="n">
        <f aca="false">Supuestos!$C$50*(1+Supuestos!$C$39)^(BJ6-1)*(1+Supuestos!$C$48)+IF(Supuestos!$C$50*(1+Supuestos!$C$39)^(BJ6-1)&lt;=2*Supuestos!$C$37*(1+Supuestos!$C$39)^(BJ6-1),Supuestos!$C$38*(1+Supuestos!$C$39)^(BJ6-1)*(1+Supuestos!$C$49),0)</f>
        <v>3719601.27842586</v>
      </c>
    </row>
    <row r="34" customFormat="false" ht="15" hidden="false" customHeight="true" outlineLevel="0" collapsed="false">
      <c r="A34" s="10" t="s">
        <v>197</v>
      </c>
      <c r="B34" s="7" t="s">
        <v>146</v>
      </c>
      <c r="C34" s="43" t="n">
        <f aca="false">C32*C33</f>
        <v>0</v>
      </c>
      <c r="D34" s="43" t="n">
        <f aca="false">D32*D33</f>
        <v>0</v>
      </c>
      <c r="E34" s="43" t="n">
        <f aca="false">E32*E33</f>
        <v>0</v>
      </c>
      <c r="F34" s="43" t="n">
        <f aca="false">F32*F33</f>
        <v>0</v>
      </c>
      <c r="G34" s="43" t="n">
        <f aca="false">G32*G33</f>
        <v>0</v>
      </c>
      <c r="H34" s="43" t="n">
        <f aca="false">H32*H33</f>
        <v>0</v>
      </c>
      <c r="I34" s="43" t="n">
        <f aca="false">I32*I33</f>
        <v>0</v>
      </c>
      <c r="J34" s="43" t="n">
        <f aca="false">J32*J33</f>
        <v>0</v>
      </c>
      <c r="K34" s="43" t="n">
        <f aca="false">K32*K33</f>
        <v>0</v>
      </c>
      <c r="L34" s="43" t="n">
        <f aca="false">L32*L33</f>
        <v>0</v>
      </c>
      <c r="M34" s="43" t="n">
        <f aca="false">M32*M33</f>
        <v>0</v>
      </c>
      <c r="N34" s="43" t="n">
        <f aca="false">N32*N33</f>
        <v>0</v>
      </c>
      <c r="O34" s="43" t="n">
        <f aca="false">O32*O33</f>
        <v>0</v>
      </c>
      <c r="P34" s="43" t="n">
        <f aca="false">P32*P33</f>
        <v>0</v>
      </c>
      <c r="Q34" s="43" t="n">
        <f aca="false">Q32*Q33</f>
        <v>0</v>
      </c>
      <c r="R34" s="43" t="n">
        <f aca="false">R32*R33</f>
        <v>0</v>
      </c>
      <c r="S34" s="43" t="n">
        <f aca="false">S32*S33</f>
        <v>0</v>
      </c>
      <c r="T34" s="43" t="n">
        <f aca="false">T32*T33</f>
        <v>0</v>
      </c>
      <c r="U34" s="43" t="n">
        <f aca="false">U32*U33</f>
        <v>0</v>
      </c>
      <c r="V34" s="43" t="n">
        <f aca="false">V32*V33</f>
        <v>0</v>
      </c>
      <c r="W34" s="43" t="n">
        <f aca="false">W32*W33</f>
        <v>0</v>
      </c>
      <c r="X34" s="43" t="n">
        <f aca="false">X32*X33</f>
        <v>0</v>
      </c>
      <c r="Y34" s="43" t="n">
        <f aca="false">Y32*Y33</f>
        <v>0</v>
      </c>
      <c r="Z34" s="43" t="n">
        <f aca="false">Z32*Z33</f>
        <v>0</v>
      </c>
      <c r="AA34" s="43" t="n">
        <f aca="false">AA32*AA33</f>
        <v>0</v>
      </c>
      <c r="AB34" s="43" t="n">
        <f aca="false">AB32*AB33</f>
        <v>0</v>
      </c>
      <c r="AC34" s="43" t="n">
        <f aca="false">AC32*AC33</f>
        <v>0</v>
      </c>
      <c r="AD34" s="43" t="n">
        <f aca="false">AD32*AD33</f>
        <v>0</v>
      </c>
      <c r="AE34" s="43" t="n">
        <f aca="false">AE32*AE33</f>
        <v>0</v>
      </c>
      <c r="AF34" s="43" t="n">
        <f aca="false">AF32*AF33</f>
        <v>0</v>
      </c>
      <c r="AG34" s="43" t="n">
        <f aca="false">AG32*AG33</f>
        <v>0</v>
      </c>
      <c r="AH34" s="43" t="n">
        <f aca="false">AH32*AH33</f>
        <v>0</v>
      </c>
      <c r="AI34" s="43" t="n">
        <f aca="false">AI32*AI33</f>
        <v>0</v>
      </c>
      <c r="AJ34" s="43" t="n">
        <f aca="false">AJ32*AJ33</f>
        <v>0</v>
      </c>
      <c r="AK34" s="43" t="n">
        <f aca="false">AK32*AK33</f>
        <v>0</v>
      </c>
      <c r="AL34" s="43" t="n">
        <f aca="false">AL32*AL33</f>
        <v>0</v>
      </c>
      <c r="AM34" s="43" t="n">
        <f aca="false">AM32*AM33</f>
        <v>0</v>
      </c>
      <c r="AN34" s="43" t="n">
        <f aca="false">AN32*AN33</f>
        <v>0</v>
      </c>
      <c r="AO34" s="43" t="n">
        <f aca="false">AO32*AO33</f>
        <v>0</v>
      </c>
      <c r="AP34" s="43" t="n">
        <f aca="false">AP32*AP33</f>
        <v>0</v>
      </c>
      <c r="AQ34" s="43" t="n">
        <f aca="false">AQ32*AQ33</f>
        <v>0</v>
      </c>
      <c r="AR34" s="43" t="n">
        <f aca="false">AR32*AR33</f>
        <v>0</v>
      </c>
      <c r="AS34" s="43" t="n">
        <f aca="false">AS32*AS33</f>
        <v>0</v>
      </c>
      <c r="AT34" s="43" t="n">
        <f aca="false">AT32*AT33</f>
        <v>0</v>
      </c>
      <c r="AU34" s="43" t="n">
        <f aca="false">AU32*AU33</f>
        <v>0</v>
      </c>
      <c r="AV34" s="43" t="n">
        <f aca="false">AV32*AV33</f>
        <v>0</v>
      </c>
      <c r="AW34" s="43" t="n">
        <f aca="false">AW32*AW33</f>
        <v>0</v>
      </c>
      <c r="AX34" s="43" t="n">
        <f aca="false">AX32*AX33</f>
        <v>0</v>
      </c>
      <c r="AY34" s="43" t="n">
        <f aca="false">AY32*AY33</f>
        <v>0</v>
      </c>
      <c r="AZ34" s="43" t="n">
        <f aca="false">AZ32*AZ33</f>
        <v>0</v>
      </c>
      <c r="BA34" s="43" t="n">
        <f aca="false">BA32*BA33</f>
        <v>0</v>
      </c>
      <c r="BB34" s="43" t="n">
        <f aca="false">BB32*BB33</f>
        <v>3719601.27842586</v>
      </c>
      <c r="BC34" s="43" t="n">
        <f aca="false">BC32*BC33</f>
        <v>3719601.27842586</v>
      </c>
      <c r="BD34" s="43" t="n">
        <f aca="false">BD32*BD33</f>
        <v>3719601.27842586</v>
      </c>
      <c r="BE34" s="43" t="n">
        <f aca="false">BE32*BE33</f>
        <v>3719601.27842586</v>
      </c>
      <c r="BF34" s="43" t="n">
        <f aca="false">BF32*BF33</f>
        <v>3719601.27842586</v>
      </c>
      <c r="BG34" s="43" t="n">
        <f aca="false">BG32*BG33</f>
        <v>3719601.27842586</v>
      </c>
      <c r="BH34" s="43" t="n">
        <f aca="false">BH32*BH33</f>
        <v>3719601.27842586</v>
      </c>
      <c r="BI34" s="43" t="n">
        <f aca="false">BI32*BI33</f>
        <v>3719601.27842586</v>
      </c>
      <c r="BJ34" s="43" t="n">
        <f aca="false">BJ32*BJ33</f>
        <v>3719601.27842586</v>
      </c>
    </row>
    <row r="35" customFormat="false" ht="15" hidden="false" customHeight="true" outlineLevel="0" collapsed="false">
      <c r="A35" s="10" t="s">
        <v>260</v>
      </c>
      <c r="B35" s="7" t="s">
        <v>109</v>
      </c>
      <c r="C35" s="39" t="n">
        <f aca="false">IF(C5&gt;=INDEX(Supuestos!$C$18:$E$18,1,$B$2),Supuestos!$C$51,0)</f>
        <v>0</v>
      </c>
      <c r="D35" s="39" t="n">
        <f aca="false">IF(D5&gt;=INDEX(Supuestos!$C$18:$E$18,1,$B$2),Supuestos!$C$51,0)</f>
        <v>0</v>
      </c>
      <c r="E35" s="39" t="n">
        <f aca="false">IF(E5&gt;=INDEX(Supuestos!$C$18:$E$18,1,$B$2),Supuestos!$C$51,0)</f>
        <v>0</v>
      </c>
      <c r="F35" s="39" t="n">
        <f aca="false">IF(F5&gt;=INDEX(Supuestos!$C$18:$E$18,1,$B$2),Supuestos!$C$51,0)</f>
        <v>0</v>
      </c>
      <c r="G35" s="39" t="n">
        <f aca="false">IF(G5&gt;=INDEX(Supuestos!$C$18:$E$18,1,$B$2),Supuestos!$C$51,0)</f>
        <v>0</v>
      </c>
      <c r="H35" s="39" t="n">
        <f aca="false">IF(H5&gt;=INDEX(Supuestos!$C$18:$E$18,1,$B$2),Supuestos!$C$51,0)</f>
        <v>0</v>
      </c>
      <c r="I35" s="39" t="n">
        <f aca="false">IF(I5&gt;=INDEX(Supuestos!$C$18:$E$18,1,$B$2),Supuestos!$C$51,0)</f>
        <v>0</v>
      </c>
      <c r="J35" s="39" t="n">
        <f aca="false">IF(J5&gt;=INDEX(Supuestos!$C$18:$E$18,1,$B$2),Supuestos!$C$51,0)</f>
        <v>0</v>
      </c>
      <c r="K35" s="39" t="n">
        <f aca="false">IF(K5&gt;=INDEX(Supuestos!$C$18:$E$18,1,$B$2),Supuestos!$C$51,0)</f>
        <v>0</v>
      </c>
      <c r="L35" s="39" t="n">
        <f aca="false">IF(L5&gt;=INDEX(Supuestos!$C$18:$E$18,1,$B$2),Supuestos!$C$51,0)</f>
        <v>0</v>
      </c>
      <c r="M35" s="39" t="n">
        <f aca="false">IF(M5&gt;=INDEX(Supuestos!$C$18:$E$18,1,$B$2),Supuestos!$C$51,0)</f>
        <v>0</v>
      </c>
      <c r="N35" s="39" t="n">
        <f aca="false">IF(N5&gt;=INDEX(Supuestos!$C$18:$E$18,1,$B$2),Supuestos!$C$51,0)</f>
        <v>0</v>
      </c>
      <c r="O35" s="39" t="n">
        <f aca="false">IF(O5&gt;=INDEX(Supuestos!$C$18:$E$18,1,$B$2),Supuestos!$C$51,0)</f>
        <v>0</v>
      </c>
      <c r="P35" s="39" t="n">
        <f aca="false">IF(P5&gt;=INDEX(Supuestos!$C$18:$E$18,1,$B$2),Supuestos!$C$51,0)</f>
        <v>0</v>
      </c>
      <c r="Q35" s="39" t="n">
        <f aca="false">IF(Q5&gt;=INDEX(Supuestos!$C$18:$E$18,1,$B$2),Supuestos!$C$51,0)</f>
        <v>0</v>
      </c>
      <c r="R35" s="39" t="n">
        <f aca="false">IF(R5&gt;=INDEX(Supuestos!$C$18:$E$18,1,$B$2),Supuestos!$C$51,0)</f>
        <v>0</v>
      </c>
      <c r="S35" s="39" t="n">
        <f aca="false">IF(S5&gt;=INDEX(Supuestos!$C$18:$E$18,1,$B$2),Supuestos!$C$51,0)</f>
        <v>0</v>
      </c>
      <c r="T35" s="39" t="n">
        <f aca="false">IF(T5&gt;=INDEX(Supuestos!$C$18:$E$18,1,$B$2),Supuestos!$C$51,0)</f>
        <v>0</v>
      </c>
      <c r="U35" s="39" t="n">
        <f aca="false">IF(U5&gt;=INDEX(Supuestos!$C$18:$E$18,1,$B$2),Supuestos!$C$51,0)</f>
        <v>0</v>
      </c>
      <c r="V35" s="39" t="n">
        <f aca="false">IF(V5&gt;=INDEX(Supuestos!$C$18:$E$18,1,$B$2),Supuestos!$C$51,0)</f>
        <v>0</v>
      </c>
      <c r="W35" s="39" t="n">
        <f aca="false">IF(W5&gt;=INDEX(Supuestos!$C$18:$E$18,1,$B$2),Supuestos!$C$51,0)</f>
        <v>0</v>
      </c>
      <c r="X35" s="39" t="n">
        <f aca="false">IF(X5&gt;=INDEX(Supuestos!$C$18:$E$18,1,$B$2),Supuestos!$C$51,0)</f>
        <v>0</v>
      </c>
      <c r="Y35" s="39" t="n">
        <f aca="false">IF(Y5&gt;=INDEX(Supuestos!$C$18:$E$18,1,$B$2),Supuestos!$C$51,0)</f>
        <v>0</v>
      </c>
      <c r="Z35" s="39" t="n">
        <f aca="false">IF(Z5&gt;=INDEX(Supuestos!$C$18:$E$18,1,$B$2),Supuestos!$C$51,0)</f>
        <v>0</v>
      </c>
      <c r="AA35" s="39" t="n">
        <f aca="false">IF(AA5&gt;=INDEX(Supuestos!$C$18:$E$18,1,$B$2),Supuestos!$C$51,0)</f>
        <v>0</v>
      </c>
      <c r="AB35" s="39" t="n">
        <f aca="false">IF(AB5&gt;=INDEX(Supuestos!$C$18:$E$18,1,$B$2),Supuestos!$C$51,0)</f>
        <v>0</v>
      </c>
      <c r="AC35" s="39" t="n">
        <f aca="false">IF(AC5&gt;=INDEX(Supuestos!$C$18:$E$18,1,$B$2),Supuestos!$C$51,0)</f>
        <v>0</v>
      </c>
      <c r="AD35" s="39" t="n">
        <f aca="false">IF(AD5&gt;=INDEX(Supuestos!$C$18:$E$18,1,$B$2),Supuestos!$C$51,0)</f>
        <v>0</v>
      </c>
      <c r="AE35" s="39" t="n">
        <f aca="false">IF(AE5&gt;=INDEX(Supuestos!$C$18:$E$18,1,$B$2),Supuestos!$C$51,0)</f>
        <v>0</v>
      </c>
      <c r="AF35" s="39" t="n">
        <f aca="false">IF(AF5&gt;=INDEX(Supuestos!$C$18:$E$18,1,$B$2),Supuestos!$C$51,0)</f>
        <v>0</v>
      </c>
      <c r="AG35" s="39" t="n">
        <f aca="false">IF(AG5&gt;=INDEX(Supuestos!$C$18:$E$18,1,$B$2),Supuestos!$C$51,0)</f>
        <v>0</v>
      </c>
      <c r="AH35" s="39" t="n">
        <f aca="false">IF(AH5&gt;=INDEX(Supuestos!$C$18:$E$18,1,$B$2),Supuestos!$C$51,0)</f>
        <v>0</v>
      </c>
      <c r="AI35" s="39" t="n">
        <f aca="false">IF(AI5&gt;=INDEX(Supuestos!$C$18:$E$18,1,$B$2),Supuestos!$C$51,0)</f>
        <v>0</v>
      </c>
      <c r="AJ35" s="39" t="n">
        <f aca="false">IF(AJ5&gt;=INDEX(Supuestos!$C$18:$E$18,1,$B$2),Supuestos!$C$51,0)</f>
        <v>0</v>
      </c>
      <c r="AK35" s="39" t="n">
        <f aca="false">IF(AK5&gt;=INDEX(Supuestos!$C$18:$E$18,1,$B$2),Supuestos!$C$51,0)</f>
        <v>0</v>
      </c>
      <c r="AL35" s="39" t="n">
        <f aca="false">IF(AL5&gt;=INDEX(Supuestos!$C$18:$E$18,1,$B$2),Supuestos!$C$51,0)</f>
        <v>0</v>
      </c>
      <c r="AM35" s="39" t="n">
        <f aca="false">IF(AM5&gt;=INDEX(Supuestos!$C$18:$E$18,1,$B$2),Supuestos!$C$51,0)</f>
        <v>3</v>
      </c>
      <c r="AN35" s="39" t="n">
        <f aca="false">IF(AN5&gt;=INDEX(Supuestos!$C$18:$E$18,1,$B$2),Supuestos!$C$51,0)</f>
        <v>3</v>
      </c>
      <c r="AO35" s="39" t="n">
        <f aca="false">IF(AO5&gt;=INDEX(Supuestos!$C$18:$E$18,1,$B$2),Supuestos!$C$51,0)</f>
        <v>3</v>
      </c>
      <c r="AP35" s="39" t="n">
        <f aca="false">IF(AP5&gt;=INDEX(Supuestos!$C$18:$E$18,1,$B$2),Supuestos!$C$51,0)</f>
        <v>3</v>
      </c>
      <c r="AQ35" s="39" t="n">
        <f aca="false">IF(AQ5&gt;=INDEX(Supuestos!$C$18:$E$18,1,$B$2),Supuestos!$C$51,0)</f>
        <v>3</v>
      </c>
      <c r="AR35" s="39" t="n">
        <f aca="false">IF(AR5&gt;=INDEX(Supuestos!$C$18:$E$18,1,$B$2),Supuestos!$C$51,0)</f>
        <v>3</v>
      </c>
      <c r="AS35" s="39" t="n">
        <f aca="false">IF(AS5&gt;=INDEX(Supuestos!$C$18:$E$18,1,$B$2),Supuestos!$C$51,0)</f>
        <v>3</v>
      </c>
      <c r="AT35" s="39" t="n">
        <f aca="false">IF(AT5&gt;=INDEX(Supuestos!$C$18:$E$18,1,$B$2),Supuestos!$C$51,0)</f>
        <v>3</v>
      </c>
      <c r="AU35" s="39" t="n">
        <f aca="false">IF(AU5&gt;=INDEX(Supuestos!$C$18:$E$18,1,$B$2),Supuestos!$C$51,0)</f>
        <v>3</v>
      </c>
      <c r="AV35" s="39" t="n">
        <f aca="false">IF(AV5&gt;=INDEX(Supuestos!$C$18:$E$18,1,$B$2),Supuestos!$C$51,0)</f>
        <v>3</v>
      </c>
      <c r="AW35" s="39" t="n">
        <f aca="false">IF(AW5&gt;=INDEX(Supuestos!$C$18:$E$18,1,$B$2),Supuestos!$C$51,0)</f>
        <v>3</v>
      </c>
      <c r="AX35" s="39" t="n">
        <f aca="false">IF(AX5&gt;=INDEX(Supuestos!$C$18:$E$18,1,$B$2),Supuestos!$C$51,0)</f>
        <v>3</v>
      </c>
      <c r="AY35" s="39" t="n">
        <f aca="false">IF(AY5&gt;=INDEX(Supuestos!$C$18:$E$18,1,$B$2),Supuestos!$C$51,0)</f>
        <v>3</v>
      </c>
      <c r="AZ35" s="39" t="n">
        <f aca="false">IF(AZ5&gt;=INDEX(Supuestos!$C$18:$E$18,1,$B$2),Supuestos!$C$51,0)</f>
        <v>3</v>
      </c>
      <c r="BA35" s="39" t="n">
        <f aca="false">IF(BA5&gt;=INDEX(Supuestos!$C$18:$E$18,1,$B$2),Supuestos!$C$51,0)</f>
        <v>3</v>
      </c>
      <c r="BB35" s="39" t="n">
        <f aca="false">IF(BB5&gt;=INDEX(Supuestos!$C$18:$E$18,1,$B$2),Supuestos!$C$51,0)</f>
        <v>3</v>
      </c>
      <c r="BC35" s="39" t="n">
        <f aca="false">IF(BC5&gt;=INDEX(Supuestos!$C$18:$E$18,1,$B$2),Supuestos!$C$51,0)</f>
        <v>3</v>
      </c>
      <c r="BD35" s="39" t="n">
        <f aca="false">IF(BD5&gt;=INDEX(Supuestos!$C$18:$E$18,1,$B$2),Supuestos!$C$51,0)</f>
        <v>3</v>
      </c>
      <c r="BE35" s="39" t="n">
        <f aca="false">IF(BE5&gt;=INDEX(Supuestos!$C$18:$E$18,1,$B$2),Supuestos!$C$51,0)</f>
        <v>3</v>
      </c>
      <c r="BF35" s="39" t="n">
        <f aca="false">IF(BF5&gt;=INDEX(Supuestos!$C$18:$E$18,1,$B$2),Supuestos!$C$51,0)</f>
        <v>3</v>
      </c>
      <c r="BG35" s="39" t="n">
        <f aca="false">IF(BG5&gt;=INDEX(Supuestos!$C$18:$E$18,1,$B$2),Supuestos!$C$51,0)</f>
        <v>3</v>
      </c>
      <c r="BH35" s="39" t="n">
        <f aca="false">IF(BH5&gt;=INDEX(Supuestos!$C$18:$E$18,1,$B$2),Supuestos!$C$51,0)</f>
        <v>3</v>
      </c>
      <c r="BI35" s="39" t="n">
        <f aca="false">IF(BI5&gt;=INDEX(Supuestos!$C$18:$E$18,1,$B$2),Supuestos!$C$51,0)</f>
        <v>3</v>
      </c>
      <c r="BJ35" s="39" t="n">
        <f aca="false">IF(BJ5&gt;=INDEX(Supuestos!$C$18:$E$18,1,$B$2),Supuestos!$C$51,0)</f>
        <v>3</v>
      </c>
    </row>
    <row r="36" customFormat="false" ht="15" hidden="false" customHeight="true" outlineLevel="0" collapsed="false">
      <c r="A36" s="10" t="s">
        <v>261</v>
      </c>
      <c r="B36" s="7" t="s">
        <v>146</v>
      </c>
      <c r="C36" s="43" t="n">
        <f aca="false">Supuestos!$C$52*(1+Supuestos!$C$39)^(C6-1)*(1+Supuestos!$C$48)+IF(Supuestos!$C$52*(1+Supuestos!$C$39)^(C6-1)&lt;=2*Supuestos!$C$37*(1+Supuestos!$C$39)^(C6-1),Supuestos!$C$38*(1+Supuestos!$C$39)^(C6-1)*(1+Supuestos!$C$49),0)</f>
        <v>4443645.177</v>
      </c>
      <c r="D36" s="43" t="n">
        <f aca="false">Supuestos!$C$52*(1+Supuestos!$C$39)^(D6-1)*(1+Supuestos!$C$48)+IF(Supuestos!$C$52*(1+Supuestos!$C$39)^(D6-1)&lt;=2*Supuestos!$C$37*(1+Supuestos!$C$39)^(D6-1),Supuestos!$C$38*(1+Supuestos!$C$39)^(D6-1)*(1+Supuestos!$C$49),0)</f>
        <v>4443645.177</v>
      </c>
      <c r="E36" s="43" t="n">
        <f aca="false">Supuestos!$C$52*(1+Supuestos!$C$39)^(E6-1)*(1+Supuestos!$C$48)+IF(Supuestos!$C$52*(1+Supuestos!$C$39)^(E6-1)&lt;=2*Supuestos!$C$37*(1+Supuestos!$C$39)^(E6-1),Supuestos!$C$38*(1+Supuestos!$C$39)^(E6-1)*(1+Supuestos!$C$49),0)</f>
        <v>4443645.177</v>
      </c>
      <c r="F36" s="43" t="n">
        <f aca="false">Supuestos!$C$52*(1+Supuestos!$C$39)^(F6-1)*(1+Supuestos!$C$48)+IF(Supuestos!$C$52*(1+Supuestos!$C$39)^(F6-1)&lt;=2*Supuestos!$C$37*(1+Supuestos!$C$39)^(F6-1),Supuestos!$C$38*(1+Supuestos!$C$39)^(F6-1)*(1+Supuestos!$C$49),0)</f>
        <v>4443645.177</v>
      </c>
      <c r="G36" s="43" t="n">
        <f aca="false">Supuestos!$C$52*(1+Supuestos!$C$39)^(G6-1)*(1+Supuestos!$C$48)+IF(Supuestos!$C$52*(1+Supuestos!$C$39)^(G6-1)&lt;=2*Supuestos!$C$37*(1+Supuestos!$C$39)^(G6-1),Supuestos!$C$38*(1+Supuestos!$C$39)^(G6-1)*(1+Supuestos!$C$49),0)</f>
        <v>4443645.177</v>
      </c>
      <c r="H36" s="43" t="n">
        <f aca="false">Supuestos!$C$52*(1+Supuestos!$C$39)^(H6-1)*(1+Supuestos!$C$48)+IF(Supuestos!$C$52*(1+Supuestos!$C$39)^(H6-1)&lt;=2*Supuestos!$C$37*(1+Supuestos!$C$39)^(H6-1),Supuestos!$C$38*(1+Supuestos!$C$39)^(H6-1)*(1+Supuestos!$C$49),0)</f>
        <v>4443645.177</v>
      </c>
      <c r="I36" s="43" t="n">
        <f aca="false">Supuestos!$C$52*(1+Supuestos!$C$39)^(I6-1)*(1+Supuestos!$C$48)+IF(Supuestos!$C$52*(1+Supuestos!$C$39)^(I6-1)&lt;=2*Supuestos!$C$37*(1+Supuestos!$C$39)^(I6-1),Supuestos!$C$38*(1+Supuestos!$C$39)^(I6-1)*(1+Supuestos!$C$49),0)</f>
        <v>4443645.177</v>
      </c>
      <c r="J36" s="43" t="n">
        <f aca="false">Supuestos!$C$52*(1+Supuestos!$C$39)^(J6-1)*(1+Supuestos!$C$48)+IF(Supuestos!$C$52*(1+Supuestos!$C$39)^(J6-1)&lt;=2*Supuestos!$C$37*(1+Supuestos!$C$39)^(J6-1),Supuestos!$C$38*(1+Supuestos!$C$39)^(J6-1)*(1+Supuestos!$C$49),0)</f>
        <v>4443645.177</v>
      </c>
      <c r="K36" s="43" t="n">
        <f aca="false">Supuestos!$C$52*(1+Supuestos!$C$39)^(K6-1)*(1+Supuestos!$C$48)+IF(Supuestos!$C$52*(1+Supuestos!$C$39)^(K6-1)&lt;=2*Supuestos!$C$37*(1+Supuestos!$C$39)^(K6-1),Supuestos!$C$38*(1+Supuestos!$C$39)^(K6-1)*(1+Supuestos!$C$49),0)</f>
        <v>4443645.177</v>
      </c>
      <c r="L36" s="43" t="n">
        <f aca="false">Supuestos!$C$52*(1+Supuestos!$C$39)^(L6-1)*(1+Supuestos!$C$48)+IF(Supuestos!$C$52*(1+Supuestos!$C$39)^(L6-1)&lt;=2*Supuestos!$C$37*(1+Supuestos!$C$39)^(L6-1),Supuestos!$C$38*(1+Supuestos!$C$39)^(L6-1)*(1+Supuestos!$C$49),0)</f>
        <v>4443645.177</v>
      </c>
      <c r="M36" s="43" t="n">
        <f aca="false">Supuestos!$C$52*(1+Supuestos!$C$39)^(M6-1)*(1+Supuestos!$C$48)+IF(Supuestos!$C$52*(1+Supuestos!$C$39)^(M6-1)&lt;=2*Supuestos!$C$37*(1+Supuestos!$C$39)^(M6-1),Supuestos!$C$38*(1+Supuestos!$C$39)^(M6-1)*(1+Supuestos!$C$49),0)</f>
        <v>4443645.177</v>
      </c>
      <c r="N36" s="43" t="n">
        <f aca="false">Supuestos!$C$52*(1+Supuestos!$C$39)^(N6-1)*(1+Supuestos!$C$48)+IF(Supuestos!$C$52*(1+Supuestos!$C$39)^(N6-1)&lt;=2*Supuestos!$C$37*(1+Supuestos!$C$39)^(N6-1),Supuestos!$C$38*(1+Supuestos!$C$39)^(N6-1)*(1+Supuestos!$C$49),0)</f>
        <v>4443645.177</v>
      </c>
      <c r="O36" s="43" t="n">
        <f aca="false">Supuestos!$C$52*(1+Supuestos!$C$39)^(O6-1)*(1+Supuestos!$C$48)+IF(Supuestos!$C$52*(1+Supuestos!$C$39)^(O6-1)&lt;=2*Supuestos!$C$37*(1+Supuestos!$C$39)^(O6-1),Supuestos!$C$38*(1+Supuestos!$C$39)^(O6-1)*(1+Supuestos!$C$49),0)</f>
        <v>4665827.43585</v>
      </c>
      <c r="P36" s="43" t="n">
        <f aca="false">Supuestos!$C$52*(1+Supuestos!$C$39)^(P6-1)*(1+Supuestos!$C$48)+IF(Supuestos!$C$52*(1+Supuestos!$C$39)^(P6-1)&lt;=2*Supuestos!$C$37*(1+Supuestos!$C$39)^(P6-1),Supuestos!$C$38*(1+Supuestos!$C$39)^(P6-1)*(1+Supuestos!$C$49),0)</f>
        <v>4665827.43585</v>
      </c>
      <c r="Q36" s="43" t="n">
        <f aca="false">Supuestos!$C$52*(1+Supuestos!$C$39)^(Q6-1)*(1+Supuestos!$C$48)+IF(Supuestos!$C$52*(1+Supuestos!$C$39)^(Q6-1)&lt;=2*Supuestos!$C$37*(1+Supuestos!$C$39)^(Q6-1),Supuestos!$C$38*(1+Supuestos!$C$39)^(Q6-1)*(1+Supuestos!$C$49),0)</f>
        <v>4665827.43585</v>
      </c>
      <c r="R36" s="43" t="n">
        <f aca="false">Supuestos!$C$52*(1+Supuestos!$C$39)^(R6-1)*(1+Supuestos!$C$48)+IF(Supuestos!$C$52*(1+Supuestos!$C$39)^(R6-1)&lt;=2*Supuestos!$C$37*(1+Supuestos!$C$39)^(R6-1),Supuestos!$C$38*(1+Supuestos!$C$39)^(R6-1)*(1+Supuestos!$C$49),0)</f>
        <v>4665827.43585</v>
      </c>
      <c r="S36" s="43" t="n">
        <f aca="false">Supuestos!$C$52*(1+Supuestos!$C$39)^(S6-1)*(1+Supuestos!$C$48)+IF(Supuestos!$C$52*(1+Supuestos!$C$39)^(S6-1)&lt;=2*Supuestos!$C$37*(1+Supuestos!$C$39)^(S6-1),Supuestos!$C$38*(1+Supuestos!$C$39)^(S6-1)*(1+Supuestos!$C$49),0)</f>
        <v>4665827.43585</v>
      </c>
      <c r="T36" s="43" t="n">
        <f aca="false">Supuestos!$C$52*(1+Supuestos!$C$39)^(T6-1)*(1+Supuestos!$C$48)+IF(Supuestos!$C$52*(1+Supuestos!$C$39)^(T6-1)&lt;=2*Supuestos!$C$37*(1+Supuestos!$C$39)^(T6-1),Supuestos!$C$38*(1+Supuestos!$C$39)^(T6-1)*(1+Supuestos!$C$49),0)</f>
        <v>4665827.43585</v>
      </c>
      <c r="U36" s="43" t="n">
        <f aca="false">Supuestos!$C$52*(1+Supuestos!$C$39)^(U6-1)*(1+Supuestos!$C$48)+IF(Supuestos!$C$52*(1+Supuestos!$C$39)^(U6-1)&lt;=2*Supuestos!$C$37*(1+Supuestos!$C$39)^(U6-1),Supuestos!$C$38*(1+Supuestos!$C$39)^(U6-1)*(1+Supuestos!$C$49),0)</f>
        <v>4665827.43585</v>
      </c>
      <c r="V36" s="43" t="n">
        <f aca="false">Supuestos!$C$52*(1+Supuestos!$C$39)^(V6-1)*(1+Supuestos!$C$48)+IF(Supuestos!$C$52*(1+Supuestos!$C$39)^(V6-1)&lt;=2*Supuestos!$C$37*(1+Supuestos!$C$39)^(V6-1),Supuestos!$C$38*(1+Supuestos!$C$39)^(V6-1)*(1+Supuestos!$C$49),0)</f>
        <v>4665827.43585</v>
      </c>
      <c r="W36" s="43" t="n">
        <f aca="false">Supuestos!$C$52*(1+Supuestos!$C$39)^(W6-1)*(1+Supuestos!$C$48)+IF(Supuestos!$C$52*(1+Supuestos!$C$39)^(W6-1)&lt;=2*Supuestos!$C$37*(1+Supuestos!$C$39)^(W6-1),Supuestos!$C$38*(1+Supuestos!$C$39)^(W6-1)*(1+Supuestos!$C$49),0)</f>
        <v>4665827.43585</v>
      </c>
      <c r="X36" s="43" t="n">
        <f aca="false">Supuestos!$C$52*(1+Supuestos!$C$39)^(X6-1)*(1+Supuestos!$C$48)+IF(Supuestos!$C$52*(1+Supuestos!$C$39)^(X6-1)&lt;=2*Supuestos!$C$37*(1+Supuestos!$C$39)^(X6-1),Supuestos!$C$38*(1+Supuestos!$C$39)^(X6-1)*(1+Supuestos!$C$49),0)</f>
        <v>4665827.43585</v>
      </c>
      <c r="Y36" s="43" t="n">
        <f aca="false">Supuestos!$C$52*(1+Supuestos!$C$39)^(Y6-1)*(1+Supuestos!$C$48)+IF(Supuestos!$C$52*(1+Supuestos!$C$39)^(Y6-1)&lt;=2*Supuestos!$C$37*(1+Supuestos!$C$39)^(Y6-1),Supuestos!$C$38*(1+Supuestos!$C$39)^(Y6-1)*(1+Supuestos!$C$49),0)</f>
        <v>4665827.43585</v>
      </c>
      <c r="Z36" s="43" t="n">
        <f aca="false">Supuestos!$C$52*(1+Supuestos!$C$39)^(Z6-1)*(1+Supuestos!$C$48)+IF(Supuestos!$C$52*(1+Supuestos!$C$39)^(Z6-1)&lt;=2*Supuestos!$C$37*(1+Supuestos!$C$39)^(Z6-1),Supuestos!$C$38*(1+Supuestos!$C$39)^(Z6-1)*(1+Supuestos!$C$49),0)</f>
        <v>4665827.43585</v>
      </c>
      <c r="AA36" s="43" t="n">
        <f aca="false">Supuestos!$C$52*(1+Supuestos!$C$39)^(AA6-1)*(1+Supuestos!$C$48)+IF(Supuestos!$C$52*(1+Supuestos!$C$39)^(AA6-1)&lt;=2*Supuestos!$C$37*(1+Supuestos!$C$39)^(AA6-1),Supuestos!$C$38*(1+Supuestos!$C$39)^(AA6-1)*(1+Supuestos!$C$49),0)</f>
        <v>4899118.8076425</v>
      </c>
      <c r="AB36" s="43" t="n">
        <f aca="false">Supuestos!$C$52*(1+Supuestos!$C$39)^(AB6-1)*(1+Supuestos!$C$48)+IF(Supuestos!$C$52*(1+Supuestos!$C$39)^(AB6-1)&lt;=2*Supuestos!$C$37*(1+Supuestos!$C$39)^(AB6-1),Supuestos!$C$38*(1+Supuestos!$C$39)^(AB6-1)*(1+Supuestos!$C$49),0)</f>
        <v>4899118.8076425</v>
      </c>
      <c r="AC36" s="43" t="n">
        <f aca="false">Supuestos!$C$52*(1+Supuestos!$C$39)^(AC6-1)*(1+Supuestos!$C$48)+IF(Supuestos!$C$52*(1+Supuestos!$C$39)^(AC6-1)&lt;=2*Supuestos!$C$37*(1+Supuestos!$C$39)^(AC6-1),Supuestos!$C$38*(1+Supuestos!$C$39)^(AC6-1)*(1+Supuestos!$C$49),0)</f>
        <v>4899118.8076425</v>
      </c>
      <c r="AD36" s="43" t="n">
        <f aca="false">Supuestos!$C$52*(1+Supuestos!$C$39)^(AD6-1)*(1+Supuestos!$C$48)+IF(Supuestos!$C$52*(1+Supuestos!$C$39)^(AD6-1)&lt;=2*Supuestos!$C$37*(1+Supuestos!$C$39)^(AD6-1),Supuestos!$C$38*(1+Supuestos!$C$39)^(AD6-1)*(1+Supuestos!$C$49),0)</f>
        <v>4899118.8076425</v>
      </c>
      <c r="AE36" s="43" t="n">
        <f aca="false">Supuestos!$C$52*(1+Supuestos!$C$39)^(AE6-1)*(1+Supuestos!$C$48)+IF(Supuestos!$C$52*(1+Supuestos!$C$39)^(AE6-1)&lt;=2*Supuestos!$C$37*(1+Supuestos!$C$39)^(AE6-1),Supuestos!$C$38*(1+Supuestos!$C$39)^(AE6-1)*(1+Supuestos!$C$49),0)</f>
        <v>4899118.8076425</v>
      </c>
      <c r="AF36" s="43" t="n">
        <f aca="false">Supuestos!$C$52*(1+Supuestos!$C$39)^(AF6-1)*(1+Supuestos!$C$48)+IF(Supuestos!$C$52*(1+Supuestos!$C$39)^(AF6-1)&lt;=2*Supuestos!$C$37*(1+Supuestos!$C$39)^(AF6-1),Supuestos!$C$38*(1+Supuestos!$C$39)^(AF6-1)*(1+Supuestos!$C$49),0)</f>
        <v>4899118.8076425</v>
      </c>
      <c r="AG36" s="43" t="n">
        <f aca="false">Supuestos!$C$52*(1+Supuestos!$C$39)^(AG6-1)*(1+Supuestos!$C$48)+IF(Supuestos!$C$52*(1+Supuestos!$C$39)^(AG6-1)&lt;=2*Supuestos!$C$37*(1+Supuestos!$C$39)^(AG6-1),Supuestos!$C$38*(1+Supuestos!$C$39)^(AG6-1)*(1+Supuestos!$C$49),0)</f>
        <v>4899118.8076425</v>
      </c>
      <c r="AH36" s="43" t="n">
        <f aca="false">Supuestos!$C$52*(1+Supuestos!$C$39)^(AH6-1)*(1+Supuestos!$C$48)+IF(Supuestos!$C$52*(1+Supuestos!$C$39)^(AH6-1)&lt;=2*Supuestos!$C$37*(1+Supuestos!$C$39)^(AH6-1),Supuestos!$C$38*(1+Supuestos!$C$39)^(AH6-1)*(1+Supuestos!$C$49),0)</f>
        <v>4899118.8076425</v>
      </c>
      <c r="AI36" s="43" t="n">
        <f aca="false">Supuestos!$C$52*(1+Supuestos!$C$39)^(AI6-1)*(1+Supuestos!$C$48)+IF(Supuestos!$C$52*(1+Supuestos!$C$39)^(AI6-1)&lt;=2*Supuestos!$C$37*(1+Supuestos!$C$39)^(AI6-1),Supuestos!$C$38*(1+Supuestos!$C$39)^(AI6-1)*(1+Supuestos!$C$49),0)</f>
        <v>4899118.8076425</v>
      </c>
      <c r="AJ36" s="43" t="n">
        <f aca="false">Supuestos!$C$52*(1+Supuestos!$C$39)^(AJ6-1)*(1+Supuestos!$C$48)+IF(Supuestos!$C$52*(1+Supuestos!$C$39)^(AJ6-1)&lt;=2*Supuestos!$C$37*(1+Supuestos!$C$39)^(AJ6-1),Supuestos!$C$38*(1+Supuestos!$C$39)^(AJ6-1)*(1+Supuestos!$C$49),0)</f>
        <v>4899118.8076425</v>
      </c>
      <c r="AK36" s="43" t="n">
        <f aca="false">Supuestos!$C$52*(1+Supuestos!$C$39)^(AK6-1)*(1+Supuestos!$C$48)+IF(Supuestos!$C$52*(1+Supuestos!$C$39)^(AK6-1)&lt;=2*Supuestos!$C$37*(1+Supuestos!$C$39)^(AK6-1),Supuestos!$C$38*(1+Supuestos!$C$39)^(AK6-1)*(1+Supuestos!$C$49),0)</f>
        <v>4899118.8076425</v>
      </c>
      <c r="AL36" s="43" t="n">
        <f aca="false">Supuestos!$C$52*(1+Supuestos!$C$39)^(AL6-1)*(1+Supuestos!$C$48)+IF(Supuestos!$C$52*(1+Supuestos!$C$39)^(AL6-1)&lt;=2*Supuestos!$C$37*(1+Supuestos!$C$39)^(AL6-1),Supuestos!$C$38*(1+Supuestos!$C$39)^(AL6-1)*(1+Supuestos!$C$49),0)</f>
        <v>4899118.8076425</v>
      </c>
      <c r="AM36" s="43" t="n">
        <f aca="false">Supuestos!$C$52*(1+Supuestos!$C$39)^(AM6-1)*(1+Supuestos!$C$48)+IF(Supuestos!$C$52*(1+Supuestos!$C$39)^(AM6-1)&lt;=2*Supuestos!$C$37*(1+Supuestos!$C$39)^(AM6-1),Supuestos!$C$38*(1+Supuestos!$C$39)^(AM6-1)*(1+Supuestos!$C$49),0)</f>
        <v>5144074.74802463</v>
      </c>
      <c r="AN36" s="43" t="n">
        <f aca="false">Supuestos!$C$52*(1+Supuestos!$C$39)^(AN6-1)*(1+Supuestos!$C$48)+IF(Supuestos!$C$52*(1+Supuestos!$C$39)^(AN6-1)&lt;=2*Supuestos!$C$37*(1+Supuestos!$C$39)^(AN6-1),Supuestos!$C$38*(1+Supuestos!$C$39)^(AN6-1)*(1+Supuestos!$C$49),0)</f>
        <v>5144074.74802463</v>
      </c>
      <c r="AO36" s="43" t="n">
        <f aca="false">Supuestos!$C$52*(1+Supuestos!$C$39)^(AO6-1)*(1+Supuestos!$C$48)+IF(Supuestos!$C$52*(1+Supuestos!$C$39)^(AO6-1)&lt;=2*Supuestos!$C$37*(1+Supuestos!$C$39)^(AO6-1),Supuestos!$C$38*(1+Supuestos!$C$39)^(AO6-1)*(1+Supuestos!$C$49),0)</f>
        <v>5144074.74802463</v>
      </c>
      <c r="AP36" s="43" t="n">
        <f aca="false">Supuestos!$C$52*(1+Supuestos!$C$39)^(AP6-1)*(1+Supuestos!$C$48)+IF(Supuestos!$C$52*(1+Supuestos!$C$39)^(AP6-1)&lt;=2*Supuestos!$C$37*(1+Supuestos!$C$39)^(AP6-1),Supuestos!$C$38*(1+Supuestos!$C$39)^(AP6-1)*(1+Supuestos!$C$49),0)</f>
        <v>5144074.74802463</v>
      </c>
      <c r="AQ36" s="43" t="n">
        <f aca="false">Supuestos!$C$52*(1+Supuestos!$C$39)^(AQ6-1)*(1+Supuestos!$C$48)+IF(Supuestos!$C$52*(1+Supuestos!$C$39)^(AQ6-1)&lt;=2*Supuestos!$C$37*(1+Supuestos!$C$39)^(AQ6-1),Supuestos!$C$38*(1+Supuestos!$C$39)^(AQ6-1)*(1+Supuestos!$C$49),0)</f>
        <v>5144074.74802463</v>
      </c>
      <c r="AR36" s="43" t="n">
        <f aca="false">Supuestos!$C$52*(1+Supuestos!$C$39)^(AR6-1)*(1+Supuestos!$C$48)+IF(Supuestos!$C$52*(1+Supuestos!$C$39)^(AR6-1)&lt;=2*Supuestos!$C$37*(1+Supuestos!$C$39)^(AR6-1),Supuestos!$C$38*(1+Supuestos!$C$39)^(AR6-1)*(1+Supuestos!$C$49),0)</f>
        <v>5144074.74802463</v>
      </c>
      <c r="AS36" s="43" t="n">
        <f aca="false">Supuestos!$C$52*(1+Supuestos!$C$39)^(AS6-1)*(1+Supuestos!$C$48)+IF(Supuestos!$C$52*(1+Supuestos!$C$39)^(AS6-1)&lt;=2*Supuestos!$C$37*(1+Supuestos!$C$39)^(AS6-1),Supuestos!$C$38*(1+Supuestos!$C$39)^(AS6-1)*(1+Supuestos!$C$49),0)</f>
        <v>5144074.74802463</v>
      </c>
      <c r="AT36" s="43" t="n">
        <f aca="false">Supuestos!$C$52*(1+Supuestos!$C$39)^(AT6-1)*(1+Supuestos!$C$48)+IF(Supuestos!$C$52*(1+Supuestos!$C$39)^(AT6-1)&lt;=2*Supuestos!$C$37*(1+Supuestos!$C$39)^(AT6-1),Supuestos!$C$38*(1+Supuestos!$C$39)^(AT6-1)*(1+Supuestos!$C$49),0)</f>
        <v>5144074.74802463</v>
      </c>
      <c r="AU36" s="43" t="n">
        <f aca="false">Supuestos!$C$52*(1+Supuestos!$C$39)^(AU6-1)*(1+Supuestos!$C$48)+IF(Supuestos!$C$52*(1+Supuestos!$C$39)^(AU6-1)&lt;=2*Supuestos!$C$37*(1+Supuestos!$C$39)^(AU6-1),Supuestos!$C$38*(1+Supuestos!$C$39)^(AU6-1)*(1+Supuestos!$C$49),0)</f>
        <v>5144074.74802463</v>
      </c>
      <c r="AV36" s="43" t="n">
        <f aca="false">Supuestos!$C$52*(1+Supuestos!$C$39)^(AV6-1)*(1+Supuestos!$C$48)+IF(Supuestos!$C$52*(1+Supuestos!$C$39)^(AV6-1)&lt;=2*Supuestos!$C$37*(1+Supuestos!$C$39)^(AV6-1),Supuestos!$C$38*(1+Supuestos!$C$39)^(AV6-1)*(1+Supuestos!$C$49),0)</f>
        <v>5144074.74802463</v>
      </c>
      <c r="AW36" s="43" t="n">
        <f aca="false">Supuestos!$C$52*(1+Supuestos!$C$39)^(AW6-1)*(1+Supuestos!$C$48)+IF(Supuestos!$C$52*(1+Supuestos!$C$39)^(AW6-1)&lt;=2*Supuestos!$C$37*(1+Supuestos!$C$39)^(AW6-1),Supuestos!$C$38*(1+Supuestos!$C$39)^(AW6-1)*(1+Supuestos!$C$49),0)</f>
        <v>5144074.74802463</v>
      </c>
      <c r="AX36" s="43" t="n">
        <f aca="false">Supuestos!$C$52*(1+Supuestos!$C$39)^(AX6-1)*(1+Supuestos!$C$48)+IF(Supuestos!$C$52*(1+Supuestos!$C$39)^(AX6-1)&lt;=2*Supuestos!$C$37*(1+Supuestos!$C$39)^(AX6-1),Supuestos!$C$38*(1+Supuestos!$C$39)^(AX6-1)*(1+Supuestos!$C$49),0)</f>
        <v>5144074.74802463</v>
      </c>
      <c r="AY36" s="43" t="n">
        <f aca="false">Supuestos!$C$52*(1+Supuestos!$C$39)^(AY6-1)*(1+Supuestos!$C$48)+IF(Supuestos!$C$52*(1+Supuestos!$C$39)^(AY6-1)&lt;=2*Supuestos!$C$37*(1+Supuestos!$C$39)^(AY6-1),Supuestos!$C$38*(1+Supuestos!$C$39)^(AY6-1)*(1+Supuestos!$C$49),0)</f>
        <v>5401278.48542586</v>
      </c>
      <c r="AZ36" s="43" t="n">
        <f aca="false">Supuestos!$C$52*(1+Supuestos!$C$39)^(AZ6-1)*(1+Supuestos!$C$48)+IF(Supuestos!$C$52*(1+Supuestos!$C$39)^(AZ6-1)&lt;=2*Supuestos!$C$37*(1+Supuestos!$C$39)^(AZ6-1),Supuestos!$C$38*(1+Supuestos!$C$39)^(AZ6-1)*(1+Supuestos!$C$49),0)</f>
        <v>5401278.48542586</v>
      </c>
      <c r="BA36" s="43" t="n">
        <f aca="false">Supuestos!$C$52*(1+Supuestos!$C$39)^(BA6-1)*(1+Supuestos!$C$48)+IF(Supuestos!$C$52*(1+Supuestos!$C$39)^(BA6-1)&lt;=2*Supuestos!$C$37*(1+Supuestos!$C$39)^(BA6-1),Supuestos!$C$38*(1+Supuestos!$C$39)^(BA6-1)*(1+Supuestos!$C$49),0)</f>
        <v>5401278.48542586</v>
      </c>
      <c r="BB36" s="43" t="n">
        <f aca="false">Supuestos!$C$52*(1+Supuestos!$C$39)^(BB6-1)*(1+Supuestos!$C$48)+IF(Supuestos!$C$52*(1+Supuestos!$C$39)^(BB6-1)&lt;=2*Supuestos!$C$37*(1+Supuestos!$C$39)^(BB6-1),Supuestos!$C$38*(1+Supuestos!$C$39)^(BB6-1)*(1+Supuestos!$C$49),0)</f>
        <v>5401278.48542586</v>
      </c>
      <c r="BC36" s="43" t="n">
        <f aca="false">Supuestos!$C$52*(1+Supuestos!$C$39)^(BC6-1)*(1+Supuestos!$C$48)+IF(Supuestos!$C$52*(1+Supuestos!$C$39)^(BC6-1)&lt;=2*Supuestos!$C$37*(1+Supuestos!$C$39)^(BC6-1),Supuestos!$C$38*(1+Supuestos!$C$39)^(BC6-1)*(1+Supuestos!$C$49),0)</f>
        <v>5401278.48542586</v>
      </c>
      <c r="BD36" s="43" t="n">
        <f aca="false">Supuestos!$C$52*(1+Supuestos!$C$39)^(BD6-1)*(1+Supuestos!$C$48)+IF(Supuestos!$C$52*(1+Supuestos!$C$39)^(BD6-1)&lt;=2*Supuestos!$C$37*(1+Supuestos!$C$39)^(BD6-1),Supuestos!$C$38*(1+Supuestos!$C$39)^(BD6-1)*(1+Supuestos!$C$49),0)</f>
        <v>5401278.48542586</v>
      </c>
      <c r="BE36" s="43" t="n">
        <f aca="false">Supuestos!$C$52*(1+Supuestos!$C$39)^(BE6-1)*(1+Supuestos!$C$48)+IF(Supuestos!$C$52*(1+Supuestos!$C$39)^(BE6-1)&lt;=2*Supuestos!$C$37*(1+Supuestos!$C$39)^(BE6-1),Supuestos!$C$38*(1+Supuestos!$C$39)^(BE6-1)*(1+Supuestos!$C$49),0)</f>
        <v>5401278.48542586</v>
      </c>
      <c r="BF36" s="43" t="n">
        <f aca="false">Supuestos!$C$52*(1+Supuestos!$C$39)^(BF6-1)*(1+Supuestos!$C$48)+IF(Supuestos!$C$52*(1+Supuestos!$C$39)^(BF6-1)&lt;=2*Supuestos!$C$37*(1+Supuestos!$C$39)^(BF6-1),Supuestos!$C$38*(1+Supuestos!$C$39)^(BF6-1)*(1+Supuestos!$C$49),0)</f>
        <v>5401278.48542586</v>
      </c>
      <c r="BG36" s="43" t="n">
        <f aca="false">Supuestos!$C$52*(1+Supuestos!$C$39)^(BG6-1)*(1+Supuestos!$C$48)+IF(Supuestos!$C$52*(1+Supuestos!$C$39)^(BG6-1)&lt;=2*Supuestos!$C$37*(1+Supuestos!$C$39)^(BG6-1),Supuestos!$C$38*(1+Supuestos!$C$39)^(BG6-1)*(1+Supuestos!$C$49),0)</f>
        <v>5401278.48542586</v>
      </c>
      <c r="BH36" s="43" t="n">
        <f aca="false">Supuestos!$C$52*(1+Supuestos!$C$39)^(BH6-1)*(1+Supuestos!$C$48)+IF(Supuestos!$C$52*(1+Supuestos!$C$39)^(BH6-1)&lt;=2*Supuestos!$C$37*(1+Supuestos!$C$39)^(BH6-1),Supuestos!$C$38*(1+Supuestos!$C$39)^(BH6-1)*(1+Supuestos!$C$49),0)</f>
        <v>5401278.48542586</v>
      </c>
      <c r="BI36" s="43" t="n">
        <f aca="false">Supuestos!$C$52*(1+Supuestos!$C$39)^(BI6-1)*(1+Supuestos!$C$48)+IF(Supuestos!$C$52*(1+Supuestos!$C$39)^(BI6-1)&lt;=2*Supuestos!$C$37*(1+Supuestos!$C$39)^(BI6-1),Supuestos!$C$38*(1+Supuestos!$C$39)^(BI6-1)*(1+Supuestos!$C$49),0)</f>
        <v>5401278.48542586</v>
      </c>
      <c r="BJ36" s="43" t="n">
        <f aca="false">Supuestos!$C$52*(1+Supuestos!$C$39)^(BJ6-1)*(1+Supuestos!$C$48)+IF(Supuestos!$C$52*(1+Supuestos!$C$39)^(BJ6-1)&lt;=2*Supuestos!$C$37*(1+Supuestos!$C$39)^(BJ6-1),Supuestos!$C$38*(1+Supuestos!$C$39)^(BJ6-1)*(1+Supuestos!$C$49),0)</f>
        <v>5401278.48542586</v>
      </c>
    </row>
    <row r="37" customFormat="false" ht="15" hidden="false" customHeight="true" outlineLevel="0" collapsed="false">
      <c r="A37" s="10" t="s">
        <v>198</v>
      </c>
      <c r="B37" s="7" t="s">
        <v>146</v>
      </c>
      <c r="C37" s="43" t="n">
        <f aca="false">C35*C36</f>
        <v>0</v>
      </c>
      <c r="D37" s="43" t="n">
        <f aca="false">D35*D36</f>
        <v>0</v>
      </c>
      <c r="E37" s="43" t="n">
        <f aca="false">E35*E36</f>
        <v>0</v>
      </c>
      <c r="F37" s="43" t="n">
        <f aca="false">F35*F36</f>
        <v>0</v>
      </c>
      <c r="G37" s="43" t="n">
        <f aca="false">G35*G36</f>
        <v>0</v>
      </c>
      <c r="H37" s="43" t="n">
        <f aca="false">H35*H36</f>
        <v>0</v>
      </c>
      <c r="I37" s="43" t="n">
        <f aca="false">I35*I36</f>
        <v>0</v>
      </c>
      <c r="J37" s="43" t="n">
        <f aca="false">J35*J36</f>
        <v>0</v>
      </c>
      <c r="K37" s="43" t="n">
        <f aca="false">K35*K36</f>
        <v>0</v>
      </c>
      <c r="L37" s="43" t="n">
        <f aca="false">L35*L36</f>
        <v>0</v>
      </c>
      <c r="M37" s="43" t="n">
        <f aca="false">M35*M36</f>
        <v>0</v>
      </c>
      <c r="N37" s="43" t="n">
        <f aca="false">N35*N36</f>
        <v>0</v>
      </c>
      <c r="O37" s="43" t="n">
        <f aca="false">O35*O36</f>
        <v>0</v>
      </c>
      <c r="P37" s="43" t="n">
        <f aca="false">P35*P36</f>
        <v>0</v>
      </c>
      <c r="Q37" s="43" t="n">
        <f aca="false">Q35*Q36</f>
        <v>0</v>
      </c>
      <c r="R37" s="43" t="n">
        <f aca="false">R35*R36</f>
        <v>0</v>
      </c>
      <c r="S37" s="43" t="n">
        <f aca="false">S35*S36</f>
        <v>0</v>
      </c>
      <c r="T37" s="43" t="n">
        <f aca="false">T35*T36</f>
        <v>0</v>
      </c>
      <c r="U37" s="43" t="n">
        <f aca="false">U35*U36</f>
        <v>0</v>
      </c>
      <c r="V37" s="43" t="n">
        <f aca="false">V35*V36</f>
        <v>0</v>
      </c>
      <c r="W37" s="43" t="n">
        <f aca="false">W35*W36</f>
        <v>0</v>
      </c>
      <c r="X37" s="43" t="n">
        <f aca="false">X35*X36</f>
        <v>0</v>
      </c>
      <c r="Y37" s="43" t="n">
        <f aca="false">Y35*Y36</f>
        <v>0</v>
      </c>
      <c r="Z37" s="43" t="n">
        <f aca="false">Z35*Z36</f>
        <v>0</v>
      </c>
      <c r="AA37" s="43" t="n">
        <f aca="false">AA35*AA36</f>
        <v>0</v>
      </c>
      <c r="AB37" s="43" t="n">
        <f aca="false">AB35*AB36</f>
        <v>0</v>
      </c>
      <c r="AC37" s="43" t="n">
        <f aca="false">AC35*AC36</f>
        <v>0</v>
      </c>
      <c r="AD37" s="43" t="n">
        <f aca="false">AD35*AD36</f>
        <v>0</v>
      </c>
      <c r="AE37" s="43" t="n">
        <f aca="false">AE35*AE36</f>
        <v>0</v>
      </c>
      <c r="AF37" s="43" t="n">
        <f aca="false">AF35*AF36</f>
        <v>0</v>
      </c>
      <c r="AG37" s="43" t="n">
        <f aca="false">AG35*AG36</f>
        <v>0</v>
      </c>
      <c r="AH37" s="43" t="n">
        <f aca="false">AH35*AH36</f>
        <v>0</v>
      </c>
      <c r="AI37" s="43" t="n">
        <f aca="false">AI35*AI36</f>
        <v>0</v>
      </c>
      <c r="AJ37" s="43" t="n">
        <f aca="false">AJ35*AJ36</f>
        <v>0</v>
      </c>
      <c r="AK37" s="43" t="n">
        <f aca="false">AK35*AK36</f>
        <v>0</v>
      </c>
      <c r="AL37" s="43" t="n">
        <f aca="false">AL35*AL36</f>
        <v>0</v>
      </c>
      <c r="AM37" s="43" t="n">
        <f aca="false">AM35*AM36</f>
        <v>15432224.2440739</v>
      </c>
      <c r="AN37" s="43" t="n">
        <f aca="false">AN35*AN36</f>
        <v>15432224.2440739</v>
      </c>
      <c r="AO37" s="43" t="n">
        <f aca="false">AO35*AO36</f>
        <v>15432224.2440739</v>
      </c>
      <c r="AP37" s="43" t="n">
        <f aca="false">AP35*AP36</f>
        <v>15432224.2440739</v>
      </c>
      <c r="AQ37" s="43" t="n">
        <f aca="false">AQ35*AQ36</f>
        <v>15432224.2440739</v>
      </c>
      <c r="AR37" s="43" t="n">
        <f aca="false">AR35*AR36</f>
        <v>15432224.2440739</v>
      </c>
      <c r="AS37" s="43" t="n">
        <f aca="false">AS35*AS36</f>
        <v>15432224.2440739</v>
      </c>
      <c r="AT37" s="43" t="n">
        <f aca="false">AT35*AT36</f>
        <v>15432224.2440739</v>
      </c>
      <c r="AU37" s="43" t="n">
        <f aca="false">AU35*AU36</f>
        <v>15432224.2440739</v>
      </c>
      <c r="AV37" s="43" t="n">
        <f aca="false">AV35*AV36</f>
        <v>15432224.2440739</v>
      </c>
      <c r="AW37" s="43" t="n">
        <f aca="false">AW35*AW36</f>
        <v>15432224.2440739</v>
      </c>
      <c r="AX37" s="43" t="n">
        <f aca="false">AX35*AX36</f>
        <v>15432224.2440739</v>
      </c>
      <c r="AY37" s="43" t="n">
        <f aca="false">AY35*AY36</f>
        <v>16203835.4562776</v>
      </c>
      <c r="AZ37" s="43" t="n">
        <f aca="false">AZ35*AZ36</f>
        <v>16203835.4562776</v>
      </c>
      <c r="BA37" s="43" t="n">
        <f aca="false">BA35*BA36</f>
        <v>16203835.4562776</v>
      </c>
      <c r="BB37" s="43" t="n">
        <f aca="false">BB35*BB36</f>
        <v>16203835.4562776</v>
      </c>
      <c r="BC37" s="43" t="n">
        <f aca="false">BC35*BC36</f>
        <v>16203835.4562776</v>
      </c>
      <c r="BD37" s="43" t="n">
        <f aca="false">BD35*BD36</f>
        <v>16203835.4562776</v>
      </c>
      <c r="BE37" s="43" t="n">
        <f aca="false">BE35*BE36</f>
        <v>16203835.4562776</v>
      </c>
      <c r="BF37" s="43" t="n">
        <f aca="false">BF35*BF36</f>
        <v>16203835.4562776</v>
      </c>
      <c r="BG37" s="43" t="n">
        <f aca="false">BG35*BG36</f>
        <v>16203835.4562776</v>
      </c>
      <c r="BH37" s="43" t="n">
        <f aca="false">BH35*BH36</f>
        <v>16203835.4562776</v>
      </c>
      <c r="BI37" s="43" t="n">
        <f aca="false">BI35*BI36</f>
        <v>16203835.4562776</v>
      </c>
      <c r="BJ37" s="43" t="n">
        <f aca="false">BJ35*BJ36</f>
        <v>16203835.4562776</v>
      </c>
    </row>
    <row r="38" customFormat="false" ht="15" hidden="false" customHeight="true" outlineLevel="0" collapsed="false">
      <c r="A38" s="10" t="s">
        <v>262</v>
      </c>
      <c r="B38" s="7" t="s">
        <v>109</v>
      </c>
      <c r="C38" s="39" t="n">
        <f aca="false">Supuestos!$C$51+C32</f>
        <v>3</v>
      </c>
      <c r="D38" s="39" t="n">
        <f aca="false">Supuestos!$C$51+D32</f>
        <v>3</v>
      </c>
      <c r="E38" s="39" t="n">
        <f aca="false">Supuestos!$C$51+E32</f>
        <v>3</v>
      </c>
      <c r="F38" s="39" t="n">
        <f aca="false">Supuestos!$C$51+F32</f>
        <v>3</v>
      </c>
      <c r="G38" s="39" t="n">
        <f aca="false">Supuestos!$C$51+G32</f>
        <v>3</v>
      </c>
      <c r="H38" s="39" t="n">
        <f aca="false">Supuestos!$C$51+H32</f>
        <v>3</v>
      </c>
      <c r="I38" s="39" t="n">
        <f aca="false">Supuestos!$C$51+I32</f>
        <v>3</v>
      </c>
      <c r="J38" s="39" t="n">
        <f aca="false">Supuestos!$C$51+J32</f>
        <v>3</v>
      </c>
      <c r="K38" s="39" t="n">
        <f aca="false">Supuestos!$C$51+K32</f>
        <v>3</v>
      </c>
      <c r="L38" s="39" t="n">
        <f aca="false">Supuestos!$C$51+L32</f>
        <v>3</v>
      </c>
      <c r="M38" s="39" t="n">
        <f aca="false">Supuestos!$C$51+M32</f>
        <v>3</v>
      </c>
      <c r="N38" s="39" t="n">
        <f aca="false">Supuestos!$C$51+N32</f>
        <v>3</v>
      </c>
      <c r="O38" s="39" t="n">
        <f aca="false">Supuestos!$C$51+O32</f>
        <v>3</v>
      </c>
      <c r="P38" s="39" t="n">
        <f aca="false">Supuestos!$C$51+P32</f>
        <v>3</v>
      </c>
      <c r="Q38" s="39" t="n">
        <f aca="false">Supuestos!$C$51+Q32</f>
        <v>3</v>
      </c>
      <c r="R38" s="39" t="n">
        <f aca="false">Supuestos!$C$51+R32</f>
        <v>3</v>
      </c>
      <c r="S38" s="39" t="n">
        <f aca="false">Supuestos!$C$51+S32</f>
        <v>3</v>
      </c>
      <c r="T38" s="39" t="n">
        <f aca="false">Supuestos!$C$51+T32</f>
        <v>3</v>
      </c>
      <c r="U38" s="39" t="n">
        <f aca="false">Supuestos!$C$51+U32</f>
        <v>3</v>
      </c>
      <c r="V38" s="39" t="n">
        <f aca="false">Supuestos!$C$51+V32</f>
        <v>3</v>
      </c>
      <c r="W38" s="39" t="n">
        <f aca="false">Supuestos!$C$51+W32</f>
        <v>3</v>
      </c>
      <c r="X38" s="39" t="n">
        <f aca="false">Supuestos!$C$51+X32</f>
        <v>3</v>
      </c>
      <c r="Y38" s="39" t="n">
        <f aca="false">Supuestos!$C$51+Y32</f>
        <v>3</v>
      </c>
      <c r="Z38" s="39" t="n">
        <f aca="false">Supuestos!$C$51+Z32</f>
        <v>3</v>
      </c>
      <c r="AA38" s="39" t="n">
        <f aca="false">Supuestos!$C$51+AA32</f>
        <v>3</v>
      </c>
      <c r="AB38" s="39" t="n">
        <f aca="false">Supuestos!$C$51+AB32</f>
        <v>3</v>
      </c>
      <c r="AC38" s="39" t="n">
        <f aca="false">Supuestos!$C$51+AC32</f>
        <v>3</v>
      </c>
      <c r="AD38" s="39" t="n">
        <f aca="false">Supuestos!$C$51+AD32</f>
        <v>3</v>
      </c>
      <c r="AE38" s="39" t="n">
        <f aca="false">Supuestos!$C$51+AE32</f>
        <v>3</v>
      </c>
      <c r="AF38" s="39" t="n">
        <f aca="false">Supuestos!$C$51+AF32</f>
        <v>3</v>
      </c>
      <c r="AG38" s="39" t="n">
        <f aca="false">Supuestos!$C$51+AG32</f>
        <v>3</v>
      </c>
      <c r="AH38" s="39" t="n">
        <f aca="false">Supuestos!$C$51+AH32</f>
        <v>3</v>
      </c>
      <c r="AI38" s="39" t="n">
        <f aca="false">Supuestos!$C$51+AI32</f>
        <v>3</v>
      </c>
      <c r="AJ38" s="39" t="n">
        <f aca="false">Supuestos!$C$51+AJ32</f>
        <v>3</v>
      </c>
      <c r="AK38" s="39" t="n">
        <f aca="false">Supuestos!$C$51+AK32</f>
        <v>3</v>
      </c>
      <c r="AL38" s="39" t="n">
        <f aca="false">Supuestos!$C$51+AL32</f>
        <v>3</v>
      </c>
      <c r="AM38" s="39" t="n">
        <f aca="false">Supuestos!$C$51+AM32</f>
        <v>3</v>
      </c>
      <c r="AN38" s="39" t="n">
        <f aca="false">Supuestos!$C$51+AN32</f>
        <v>3</v>
      </c>
      <c r="AO38" s="39" t="n">
        <f aca="false">Supuestos!$C$51+AO32</f>
        <v>3</v>
      </c>
      <c r="AP38" s="39" t="n">
        <f aca="false">Supuestos!$C$51+AP32</f>
        <v>3</v>
      </c>
      <c r="AQ38" s="39" t="n">
        <f aca="false">Supuestos!$C$51+AQ32</f>
        <v>3</v>
      </c>
      <c r="AR38" s="39" t="n">
        <f aca="false">Supuestos!$C$51+AR32</f>
        <v>3</v>
      </c>
      <c r="AS38" s="39" t="n">
        <f aca="false">Supuestos!$C$51+AS32</f>
        <v>3</v>
      </c>
      <c r="AT38" s="39" t="n">
        <f aca="false">Supuestos!$C$51+AT32</f>
        <v>3</v>
      </c>
      <c r="AU38" s="39" t="n">
        <f aca="false">Supuestos!$C$51+AU32</f>
        <v>3</v>
      </c>
      <c r="AV38" s="39" t="n">
        <f aca="false">Supuestos!$C$51+AV32</f>
        <v>3</v>
      </c>
      <c r="AW38" s="39" t="n">
        <f aca="false">Supuestos!$C$51+AW32</f>
        <v>3</v>
      </c>
      <c r="AX38" s="39" t="n">
        <f aca="false">Supuestos!$C$51+AX32</f>
        <v>3</v>
      </c>
      <c r="AY38" s="39" t="n">
        <f aca="false">Supuestos!$C$51+AY32</f>
        <v>3</v>
      </c>
      <c r="AZ38" s="39" t="n">
        <f aca="false">Supuestos!$C$51+AZ32</f>
        <v>3</v>
      </c>
      <c r="BA38" s="39" t="n">
        <f aca="false">Supuestos!$C$51+BA32</f>
        <v>3</v>
      </c>
      <c r="BB38" s="39" t="n">
        <f aca="false">Supuestos!$C$51+BB32</f>
        <v>4</v>
      </c>
      <c r="BC38" s="39" t="n">
        <f aca="false">Supuestos!$C$51+BC32</f>
        <v>4</v>
      </c>
      <c r="BD38" s="39" t="n">
        <f aca="false">Supuestos!$C$51+BD32</f>
        <v>4</v>
      </c>
      <c r="BE38" s="39" t="n">
        <f aca="false">Supuestos!$C$51+BE32</f>
        <v>4</v>
      </c>
      <c r="BF38" s="39" t="n">
        <f aca="false">Supuestos!$C$51+BF32</f>
        <v>4</v>
      </c>
      <c r="BG38" s="39" t="n">
        <f aca="false">Supuestos!$C$51+BG32</f>
        <v>4</v>
      </c>
      <c r="BH38" s="39" t="n">
        <f aca="false">Supuestos!$C$51+BH32</f>
        <v>4</v>
      </c>
      <c r="BI38" s="39" t="n">
        <f aca="false">Supuestos!$C$51+BI32</f>
        <v>4</v>
      </c>
      <c r="BJ38" s="39" t="n">
        <f aca="false">Supuestos!$C$51+BJ32</f>
        <v>4</v>
      </c>
    </row>
    <row r="40" customFormat="false" ht="15" hidden="false" customHeight="true" outlineLevel="0" collapsed="false">
      <c r="A40" s="28" t="s">
        <v>263</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row>
    <row r="41" customFormat="false" ht="15" hidden="false" customHeight="true" outlineLevel="0" collapsed="false">
      <c r="A41" s="10" t="s">
        <v>264</v>
      </c>
      <c r="B41" s="7" t="s">
        <v>146</v>
      </c>
      <c r="C41" s="43" t="n">
        <f aca="false">C34+C37</f>
        <v>0</v>
      </c>
      <c r="D41" s="43" t="n">
        <f aca="false">D34+D37</f>
        <v>0</v>
      </c>
      <c r="E41" s="43" t="n">
        <f aca="false">E34+E37</f>
        <v>0</v>
      </c>
      <c r="F41" s="43" t="n">
        <f aca="false">F34+F37</f>
        <v>0</v>
      </c>
      <c r="G41" s="43" t="n">
        <f aca="false">G34+G37</f>
        <v>0</v>
      </c>
      <c r="H41" s="43" t="n">
        <f aca="false">H34+H37</f>
        <v>0</v>
      </c>
      <c r="I41" s="43" t="n">
        <f aca="false">I34+I37</f>
        <v>0</v>
      </c>
      <c r="J41" s="43" t="n">
        <f aca="false">J34+J37</f>
        <v>0</v>
      </c>
      <c r="K41" s="43" t="n">
        <f aca="false">K34+K37</f>
        <v>0</v>
      </c>
      <c r="L41" s="43" t="n">
        <f aca="false">L34+L37</f>
        <v>0</v>
      </c>
      <c r="M41" s="43" t="n">
        <f aca="false">M34+M37</f>
        <v>0</v>
      </c>
      <c r="N41" s="43" t="n">
        <f aca="false">N34+N37</f>
        <v>0</v>
      </c>
      <c r="O41" s="43" t="n">
        <f aca="false">O34+O37</f>
        <v>0</v>
      </c>
      <c r="P41" s="43" t="n">
        <f aca="false">P34+P37</f>
        <v>0</v>
      </c>
      <c r="Q41" s="43" t="n">
        <f aca="false">Q34+Q37</f>
        <v>0</v>
      </c>
      <c r="R41" s="43" t="n">
        <f aca="false">R34+R37</f>
        <v>0</v>
      </c>
      <c r="S41" s="43" t="n">
        <f aca="false">S34+S37</f>
        <v>0</v>
      </c>
      <c r="T41" s="43" t="n">
        <f aca="false">T34+T37</f>
        <v>0</v>
      </c>
      <c r="U41" s="43" t="n">
        <f aca="false">U34+U37</f>
        <v>0</v>
      </c>
      <c r="V41" s="43" t="n">
        <f aca="false">V34+V37</f>
        <v>0</v>
      </c>
      <c r="W41" s="43" t="n">
        <f aca="false">W34+W37</f>
        <v>0</v>
      </c>
      <c r="X41" s="43" t="n">
        <f aca="false">X34+X37</f>
        <v>0</v>
      </c>
      <c r="Y41" s="43" t="n">
        <f aca="false">Y34+Y37</f>
        <v>0</v>
      </c>
      <c r="Z41" s="43" t="n">
        <f aca="false">Z34+Z37</f>
        <v>0</v>
      </c>
      <c r="AA41" s="43" t="n">
        <f aca="false">AA34+AA37</f>
        <v>0</v>
      </c>
      <c r="AB41" s="43" t="n">
        <f aca="false">AB34+AB37</f>
        <v>0</v>
      </c>
      <c r="AC41" s="43" t="n">
        <f aca="false">AC34+AC37</f>
        <v>0</v>
      </c>
      <c r="AD41" s="43" t="n">
        <f aca="false">AD34+AD37</f>
        <v>0</v>
      </c>
      <c r="AE41" s="43" t="n">
        <f aca="false">AE34+AE37</f>
        <v>0</v>
      </c>
      <c r="AF41" s="43" t="n">
        <f aca="false">AF34+AF37</f>
        <v>0</v>
      </c>
      <c r="AG41" s="43" t="n">
        <f aca="false">AG34+AG37</f>
        <v>0</v>
      </c>
      <c r="AH41" s="43" t="n">
        <f aca="false">AH34+AH37</f>
        <v>0</v>
      </c>
      <c r="AI41" s="43" t="n">
        <f aca="false">AI34+AI37</f>
        <v>0</v>
      </c>
      <c r="AJ41" s="43" t="n">
        <f aca="false">AJ34+AJ37</f>
        <v>0</v>
      </c>
      <c r="AK41" s="43" t="n">
        <f aca="false">AK34+AK37</f>
        <v>0</v>
      </c>
      <c r="AL41" s="43" t="n">
        <f aca="false">AL34+AL37</f>
        <v>0</v>
      </c>
      <c r="AM41" s="43" t="n">
        <f aca="false">AM34+AM37</f>
        <v>15432224.2440739</v>
      </c>
      <c r="AN41" s="43" t="n">
        <f aca="false">AN34+AN37</f>
        <v>15432224.2440739</v>
      </c>
      <c r="AO41" s="43" t="n">
        <f aca="false">AO34+AO37</f>
        <v>15432224.2440739</v>
      </c>
      <c r="AP41" s="43" t="n">
        <f aca="false">AP34+AP37</f>
        <v>15432224.2440739</v>
      </c>
      <c r="AQ41" s="43" t="n">
        <f aca="false">AQ34+AQ37</f>
        <v>15432224.2440739</v>
      </c>
      <c r="AR41" s="43" t="n">
        <f aca="false">AR34+AR37</f>
        <v>15432224.2440739</v>
      </c>
      <c r="AS41" s="43" t="n">
        <f aca="false">AS34+AS37</f>
        <v>15432224.2440739</v>
      </c>
      <c r="AT41" s="43" t="n">
        <f aca="false">AT34+AT37</f>
        <v>15432224.2440739</v>
      </c>
      <c r="AU41" s="43" t="n">
        <f aca="false">AU34+AU37</f>
        <v>15432224.2440739</v>
      </c>
      <c r="AV41" s="43" t="n">
        <f aca="false">AV34+AV37</f>
        <v>15432224.2440739</v>
      </c>
      <c r="AW41" s="43" t="n">
        <f aca="false">AW34+AW37</f>
        <v>15432224.2440739</v>
      </c>
      <c r="AX41" s="43" t="n">
        <f aca="false">AX34+AX37</f>
        <v>15432224.2440739</v>
      </c>
      <c r="AY41" s="43" t="n">
        <f aca="false">AY34+AY37</f>
        <v>16203835.4562776</v>
      </c>
      <c r="AZ41" s="43" t="n">
        <f aca="false">AZ34+AZ37</f>
        <v>16203835.4562776</v>
      </c>
      <c r="BA41" s="43" t="n">
        <f aca="false">BA34+BA37</f>
        <v>16203835.4562776</v>
      </c>
      <c r="BB41" s="43" t="n">
        <f aca="false">BB34+BB37</f>
        <v>19923436.7347034</v>
      </c>
      <c r="BC41" s="43" t="n">
        <f aca="false">BC34+BC37</f>
        <v>19923436.7347034</v>
      </c>
      <c r="BD41" s="43" t="n">
        <f aca="false">BD34+BD37</f>
        <v>19923436.7347034</v>
      </c>
      <c r="BE41" s="43" t="n">
        <f aca="false">BE34+BE37</f>
        <v>19923436.7347034</v>
      </c>
      <c r="BF41" s="43" t="n">
        <f aca="false">BF34+BF37</f>
        <v>19923436.7347034</v>
      </c>
      <c r="BG41" s="43" t="n">
        <f aca="false">BG34+BG37</f>
        <v>19923436.7347034</v>
      </c>
      <c r="BH41" s="43" t="n">
        <f aca="false">BH34+BH37</f>
        <v>19923436.7347034</v>
      </c>
      <c r="BI41" s="43" t="n">
        <f aca="false">BI34+BI37</f>
        <v>19923436.7347034</v>
      </c>
      <c r="BJ41" s="43" t="n">
        <f aca="false">BJ34+BJ37</f>
        <v>19923436.7347034</v>
      </c>
    </row>
    <row r="42" customFormat="false" ht="15" hidden="false" customHeight="true" outlineLevel="0" collapsed="false">
      <c r="A42" s="10" t="s">
        <v>265</v>
      </c>
      <c r="B42" s="7" t="s">
        <v>146</v>
      </c>
      <c r="C42" s="43" t="n">
        <f aca="false">C13*INDEX(Supuestos!$C$17:$E$17,1,$B$2)*(1+Supuestos!$C$39)^(C6-1)</f>
        <v>499800</v>
      </c>
      <c r="D42" s="43" t="n">
        <f aca="false">D13*INDEX(Supuestos!$C$17:$E$17,1,$B$2)*(1+Supuestos!$C$39)^(D6-1)</f>
        <v>275190</v>
      </c>
      <c r="E42" s="43" t="n">
        <f aca="false">E13*INDEX(Supuestos!$C$17:$E$17,1,$B$2)*(1+Supuestos!$C$39)^(E6-1)</f>
        <v>537300</v>
      </c>
      <c r="F42" s="43" t="n">
        <f aca="false">F13*INDEX(Supuestos!$C$17:$E$17,1,$B$2)*(1+Supuestos!$C$39)^(F6-1)</f>
        <v>562890</v>
      </c>
      <c r="G42" s="43" t="n">
        <f aca="false">G13*INDEX(Supuestos!$C$17:$E$17,1,$B$2)*(1+Supuestos!$C$39)^(G6-1)</f>
        <v>587310</v>
      </c>
      <c r="H42" s="43" t="n">
        <f aca="false">H13*INDEX(Supuestos!$C$17:$E$17,1,$B$2)*(1+Supuestos!$C$39)^(H6-1)</f>
        <v>612300</v>
      </c>
      <c r="I42" s="43" t="n">
        <f aca="false">I13*INDEX(Supuestos!$C$17:$E$17,1,$B$2)*(1+Supuestos!$C$39)^(I6-1)</f>
        <v>637890</v>
      </c>
      <c r="J42" s="43" t="n">
        <f aca="false">J13*INDEX(Supuestos!$C$17:$E$17,1,$B$2)*(1+Supuestos!$C$39)^(J6-1)</f>
        <v>912510</v>
      </c>
      <c r="K42" s="43" t="n">
        <f aca="false">K13*INDEX(Supuestos!$C$17:$E$17,1,$B$2)*(1+Supuestos!$C$39)^(K6-1)</f>
        <v>699810.000000001</v>
      </c>
      <c r="L42" s="43" t="n">
        <f aca="false">L13*INDEX(Supuestos!$C$17:$E$17,1,$B$2)*(1+Supuestos!$C$39)^(L6-1)</f>
        <v>724800.000000001</v>
      </c>
      <c r="M42" s="43" t="n">
        <f aca="false">M13*INDEX(Supuestos!$C$17:$E$17,1,$B$2)*(1+Supuestos!$C$39)^(M6-1)</f>
        <v>750389.999999999</v>
      </c>
      <c r="N42" s="43" t="n">
        <f aca="false">N13*INDEX(Supuestos!$C$17:$E$17,1,$B$2)*(1+Supuestos!$C$39)^(N6-1)</f>
        <v>774810.000000001</v>
      </c>
      <c r="O42" s="43" t="n">
        <f aca="false">O13*INDEX(Supuestos!$C$17:$E$17,1,$B$2)*(1+Supuestos!$C$39)^(O6-1)</f>
        <v>1102500</v>
      </c>
      <c r="P42" s="43" t="n">
        <f aca="false">P13*INDEX(Supuestos!$C$17:$E$17,1,$B$2)*(1+Supuestos!$C$39)^(P6-1)</f>
        <v>1141875</v>
      </c>
      <c r="Q42" s="43" t="n">
        <f aca="false">Q13*INDEX(Supuestos!$C$17:$E$17,1,$B$2)*(1+Supuestos!$C$39)^(Q6-1)</f>
        <v>1181250</v>
      </c>
      <c r="R42" s="43" t="n">
        <f aca="false">R13*INDEX(Supuestos!$C$17:$E$17,1,$B$2)*(1+Supuestos!$C$39)^(R6-1)</f>
        <v>1220625</v>
      </c>
      <c r="S42" s="43" t="n">
        <f aca="false">S13*INDEX(Supuestos!$C$17:$E$17,1,$B$2)*(1+Supuestos!$C$39)^(S6-1)</f>
        <v>1260000</v>
      </c>
      <c r="T42" s="43" t="n">
        <f aca="false">T13*INDEX(Supuestos!$C$17:$E$17,1,$B$2)*(1+Supuestos!$C$39)^(T6-1)</f>
        <v>1299375</v>
      </c>
      <c r="U42" s="43" t="n">
        <f aca="false">U13*INDEX(Supuestos!$C$17:$E$17,1,$B$2)*(1+Supuestos!$C$39)^(U6-1)</f>
        <v>1338750</v>
      </c>
      <c r="V42" s="43" t="n">
        <f aca="false">V13*INDEX(Supuestos!$C$17:$E$17,1,$B$2)*(1+Supuestos!$C$39)^(V6-1)</f>
        <v>1378125</v>
      </c>
      <c r="W42" s="43" t="n">
        <f aca="false">W13*INDEX(Supuestos!$C$17:$E$17,1,$B$2)*(1+Supuestos!$C$39)^(W6-1)</f>
        <v>1417500</v>
      </c>
      <c r="X42" s="43" t="n">
        <f aca="false">X13*INDEX(Supuestos!$C$17:$E$17,1,$B$2)*(1+Supuestos!$C$39)^(X6-1)</f>
        <v>1456875</v>
      </c>
      <c r="Y42" s="43" t="n">
        <f aca="false">Y13*INDEX(Supuestos!$C$17:$E$17,1,$B$2)*(1+Supuestos!$C$39)^(Y6-1)</f>
        <v>1496250</v>
      </c>
      <c r="Z42" s="43" t="n">
        <f aca="false">Z13*INDEX(Supuestos!$C$17:$E$17,1,$B$2)*(1+Supuestos!$C$39)^(Z6-1)</f>
        <v>1535625</v>
      </c>
      <c r="AA42" s="43" t="n">
        <f aca="false">AA13*INDEX(Supuestos!$C$17:$E$17,1,$B$2)*(1+Supuestos!$C$39)^(AA6-1)</f>
        <v>2205000</v>
      </c>
      <c r="AB42" s="43" t="n">
        <f aca="false">AB13*INDEX(Supuestos!$C$17:$E$17,1,$B$2)*(1+Supuestos!$C$39)^(AB6-1)</f>
        <v>2273906.25</v>
      </c>
      <c r="AC42" s="43" t="n">
        <f aca="false">AC13*INDEX(Supuestos!$C$17:$E$17,1,$B$2)*(1+Supuestos!$C$39)^(AC6-1)</f>
        <v>2342812.5</v>
      </c>
      <c r="AD42" s="43" t="n">
        <f aca="false">AD13*INDEX(Supuestos!$C$17:$E$17,1,$B$2)*(1+Supuestos!$C$39)^(AD6-1)</f>
        <v>2411718.75</v>
      </c>
      <c r="AE42" s="43" t="n">
        <f aca="false">AE13*INDEX(Supuestos!$C$17:$E$17,1,$B$2)*(1+Supuestos!$C$39)^(AE6-1)</f>
        <v>2480625</v>
      </c>
      <c r="AF42" s="43" t="n">
        <f aca="false">AF13*INDEX(Supuestos!$C$17:$E$17,1,$B$2)*(1+Supuestos!$C$39)^(AF6-1)</f>
        <v>2549531.25</v>
      </c>
      <c r="AG42" s="43" t="n">
        <f aca="false">AG13*INDEX(Supuestos!$C$17:$E$17,1,$B$2)*(1+Supuestos!$C$39)^(AG6-1)</f>
        <v>2618437.5</v>
      </c>
      <c r="AH42" s="43" t="n">
        <f aca="false">AH13*INDEX(Supuestos!$C$17:$E$17,1,$B$2)*(1+Supuestos!$C$39)^(AH6-1)</f>
        <v>2687343.75</v>
      </c>
      <c r="AI42" s="43" t="n">
        <f aca="false">AI13*INDEX(Supuestos!$C$17:$E$17,1,$B$2)*(1+Supuestos!$C$39)^(AI6-1)</f>
        <v>2756250</v>
      </c>
      <c r="AJ42" s="43" t="n">
        <f aca="false">AJ13*INDEX(Supuestos!$C$17:$E$17,1,$B$2)*(1+Supuestos!$C$39)^(AJ6-1)</f>
        <v>2825156.25</v>
      </c>
      <c r="AK42" s="43" t="n">
        <f aca="false">AK13*INDEX(Supuestos!$C$17:$E$17,1,$B$2)*(1+Supuestos!$C$39)^(AK6-1)</f>
        <v>2894062.5</v>
      </c>
      <c r="AL42" s="43" t="n">
        <f aca="false">AL13*INDEX(Supuestos!$C$17:$E$17,1,$B$2)*(1+Supuestos!$C$39)^(AL6-1)</f>
        <v>2962968.75</v>
      </c>
      <c r="AM42" s="43" t="n">
        <f aca="false">AM13*INDEX(Supuestos!$C$17:$E$17,1,$B$2)*(1+Supuestos!$C$39)^(AM6-1)</f>
        <v>3183468.75</v>
      </c>
      <c r="AN42" s="43" t="n">
        <f aca="false">AN13*INDEX(Supuestos!$C$17:$E$17,1,$B$2)*(1+Supuestos!$C$39)^(AN6-1)</f>
        <v>3255820.3125</v>
      </c>
      <c r="AO42" s="43" t="n">
        <f aca="false">AO13*INDEX(Supuestos!$C$17:$E$17,1,$B$2)*(1+Supuestos!$C$39)^(AO6-1)</f>
        <v>3328171.875</v>
      </c>
      <c r="AP42" s="43" t="n">
        <f aca="false">AP13*INDEX(Supuestos!$C$17:$E$17,1,$B$2)*(1+Supuestos!$C$39)^(AP6-1)</f>
        <v>3400523.4375</v>
      </c>
      <c r="AQ42" s="43" t="n">
        <f aca="false">AQ13*INDEX(Supuestos!$C$17:$E$17,1,$B$2)*(1+Supuestos!$C$39)^(AQ6-1)</f>
        <v>3472875</v>
      </c>
      <c r="AR42" s="43" t="n">
        <f aca="false">AR13*INDEX(Supuestos!$C$17:$E$17,1,$B$2)*(1+Supuestos!$C$39)^(AR6-1)</f>
        <v>3545226.5625</v>
      </c>
      <c r="AS42" s="43" t="n">
        <f aca="false">AS13*INDEX(Supuestos!$C$17:$E$17,1,$B$2)*(1+Supuestos!$C$39)^(AS6-1)</f>
        <v>3617578.125</v>
      </c>
      <c r="AT42" s="43" t="n">
        <f aca="false">AT13*INDEX(Supuestos!$C$17:$E$17,1,$B$2)*(1+Supuestos!$C$39)^(AT6-1)</f>
        <v>3689929.6875</v>
      </c>
      <c r="AU42" s="43" t="n">
        <f aca="false">AU13*INDEX(Supuestos!$C$17:$E$17,1,$B$2)*(1+Supuestos!$C$39)^(AU6-1)</f>
        <v>3762281.25</v>
      </c>
      <c r="AV42" s="43" t="n">
        <f aca="false">AV13*INDEX(Supuestos!$C$17:$E$17,1,$B$2)*(1+Supuestos!$C$39)^(AV6-1)</f>
        <v>3834632.8125</v>
      </c>
      <c r="AW42" s="43" t="n">
        <f aca="false">AW13*INDEX(Supuestos!$C$17:$E$17,1,$B$2)*(1+Supuestos!$C$39)^(AW6-1)</f>
        <v>3906984.375</v>
      </c>
      <c r="AX42" s="43" t="n">
        <f aca="false">AX13*INDEX(Supuestos!$C$17:$E$17,1,$B$2)*(1+Supuestos!$C$39)^(AX6-1)</f>
        <v>3979335.9375</v>
      </c>
      <c r="AY42" s="43" t="n">
        <f aca="false">AY13*INDEX(Supuestos!$C$17:$E$17,1,$B$2)*(1+Supuestos!$C$39)^(AY6-1)</f>
        <v>4254271.875</v>
      </c>
      <c r="AZ42" s="43" t="n">
        <f aca="false">AZ13*INDEX(Supuestos!$C$17:$E$17,1,$B$2)*(1+Supuestos!$C$39)^(AZ6-1)</f>
        <v>4330241.015625</v>
      </c>
      <c r="BA42" s="43" t="n">
        <f aca="false">BA13*INDEX(Supuestos!$C$17:$E$17,1,$B$2)*(1+Supuestos!$C$39)^(BA6-1)</f>
        <v>4406210.15625</v>
      </c>
      <c r="BB42" s="43" t="n">
        <f aca="false">BB13*INDEX(Supuestos!$C$17:$E$17,1,$B$2)*(1+Supuestos!$C$39)^(BB6-1)</f>
        <v>4482179.296875</v>
      </c>
      <c r="BC42" s="43" t="n">
        <f aca="false">BC13*INDEX(Supuestos!$C$17:$E$17,1,$B$2)*(1+Supuestos!$C$39)^(BC6-1)</f>
        <v>4558148.4375</v>
      </c>
      <c r="BD42" s="43" t="n">
        <f aca="false">BD13*INDEX(Supuestos!$C$17:$E$17,1,$B$2)*(1+Supuestos!$C$39)^(BD6-1)</f>
        <v>4634117.578125</v>
      </c>
      <c r="BE42" s="43" t="n">
        <f aca="false">BE13*INDEX(Supuestos!$C$17:$E$17,1,$B$2)*(1+Supuestos!$C$39)^(BE6-1)</f>
        <v>4710086.71875</v>
      </c>
      <c r="BF42" s="43" t="n">
        <f aca="false">BF13*INDEX(Supuestos!$C$17:$E$17,1,$B$2)*(1+Supuestos!$C$39)^(BF6-1)</f>
        <v>4786055.859375</v>
      </c>
      <c r="BG42" s="43" t="n">
        <f aca="false">BG13*INDEX(Supuestos!$C$17:$E$17,1,$B$2)*(1+Supuestos!$C$39)^(BG6-1)</f>
        <v>4862025</v>
      </c>
      <c r="BH42" s="43" t="n">
        <f aca="false">BH13*INDEX(Supuestos!$C$17:$E$17,1,$B$2)*(1+Supuestos!$C$39)^(BH6-1)</f>
        <v>4937994.140625</v>
      </c>
      <c r="BI42" s="43" t="n">
        <f aca="false">BI13*INDEX(Supuestos!$C$17:$E$17,1,$B$2)*(1+Supuestos!$C$39)^(BI6-1)</f>
        <v>5013963.28125</v>
      </c>
      <c r="BJ42" s="43" t="n">
        <f aca="false">BJ13*INDEX(Supuestos!$C$17:$E$17,1,$B$2)*(1+Supuestos!$C$39)^(BJ6-1)</f>
        <v>5089932.421875</v>
      </c>
    </row>
    <row r="43" customFormat="false" ht="15" hidden="false" customHeight="true" outlineLevel="0" collapsed="false">
      <c r="A43" s="10" t="s">
        <v>133</v>
      </c>
      <c r="B43" s="7" t="s">
        <v>146</v>
      </c>
      <c r="C43" s="43" t="n">
        <f aca="false">IF(C5&gt;=Supuestos!$C$65,Supuestos!$C$64*(1+Supuestos!$C$39)^(C6-1),0)</f>
        <v>0</v>
      </c>
      <c r="D43" s="43" t="n">
        <f aca="false">IF(D5&gt;=Supuestos!$C$65,Supuestos!$C$64*(1+Supuestos!$C$39)^(D6-1),0)</f>
        <v>0</v>
      </c>
      <c r="E43" s="43" t="n">
        <f aca="false">IF(E5&gt;=Supuestos!$C$65,Supuestos!$C$64*(1+Supuestos!$C$39)^(E6-1),0)</f>
        <v>0</v>
      </c>
      <c r="F43" s="43" t="n">
        <f aca="false">IF(F5&gt;=Supuestos!$C$65,Supuestos!$C$64*(1+Supuestos!$C$39)^(F6-1),0)</f>
        <v>0</v>
      </c>
      <c r="G43" s="43" t="n">
        <f aca="false">IF(G5&gt;=Supuestos!$C$65,Supuestos!$C$64*(1+Supuestos!$C$39)^(G6-1),0)</f>
        <v>0</v>
      </c>
      <c r="H43" s="43" t="n">
        <f aca="false">IF(H5&gt;=Supuestos!$C$65,Supuestos!$C$64*(1+Supuestos!$C$39)^(H6-1),0)</f>
        <v>0</v>
      </c>
      <c r="I43" s="43" t="n">
        <f aca="false">IF(I5&gt;=Supuestos!$C$65,Supuestos!$C$64*(1+Supuestos!$C$39)^(I6-1),0)</f>
        <v>0</v>
      </c>
      <c r="J43" s="43" t="n">
        <f aca="false">IF(J5&gt;=Supuestos!$C$65,Supuestos!$C$64*(1+Supuestos!$C$39)^(J6-1),0)</f>
        <v>0</v>
      </c>
      <c r="K43" s="43" t="n">
        <f aca="false">IF(K5&gt;=Supuestos!$C$65,Supuestos!$C$64*(1+Supuestos!$C$39)^(K6-1),0)</f>
        <v>0</v>
      </c>
      <c r="L43" s="43" t="n">
        <f aca="false">IF(L5&gt;=Supuestos!$C$65,Supuestos!$C$64*(1+Supuestos!$C$39)^(L6-1),0)</f>
        <v>0</v>
      </c>
      <c r="M43" s="43" t="n">
        <f aca="false">IF(M5&gt;=Supuestos!$C$65,Supuestos!$C$64*(1+Supuestos!$C$39)^(M6-1),0)</f>
        <v>0</v>
      </c>
      <c r="N43" s="43" t="n">
        <f aca="false">IF(N5&gt;=Supuestos!$C$65,Supuestos!$C$64*(1+Supuestos!$C$39)^(N6-1),0)</f>
        <v>0</v>
      </c>
      <c r="O43" s="43" t="n">
        <f aca="false">IF(O5&gt;=Supuestos!$C$65,Supuestos!$C$64*(1+Supuestos!$C$39)^(O6-1),0)</f>
        <v>0</v>
      </c>
      <c r="P43" s="43" t="n">
        <f aca="false">IF(P5&gt;=Supuestos!$C$65,Supuestos!$C$64*(1+Supuestos!$C$39)^(P6-1),0)</f>
        <v>0</v>
      </c>
      <c r="Q43" s="43" t="n">
        <f aca="false">IF(Q5&gt;=Supuestos!$C$65,Supuestos!$C$64*(1+Supuestos!$C$39)^(Q6-1),0)</f>
        <v>0</v>
      </c>
      <c r="R43" s="43" t="n">
        <f aca="false">IF(R5&gt;=Supuestos!$C$65,Supuestos!$C$64*(1+Supuestos!$C$39)^(R6-1),0)</f>
        <v>0</v>
      </c>
      <c r="S43" s="43" t="n">
        <f aca="false">IF(S5&gt;=Supuestos!$C$65,Supuestos!$C$64*(1+Supuestos!$C$39)^(S6-1),0)</f>
        <v>0</v>
      </c>
      <c r="T43" s="43" t="n">
        <f aca="false">IF(T5&gt;=Supuestos!$C$65,Supuestos!$C$64*(1+Supuestos!$C$39)^(T6-1),0)</f>
        <v>0</v>
      </c>
      <c r="U43" s="43" t="n">
        <f aca="false">IF(U5&gt;=Supuestos!$C$65,Supuestos!$C$64*(1+Supuestos!$C$39)^(U6-1),0)</f>
        <v>0</v>
      </c>
      <c r="V43" s="43" t="n">
        <f aca="false">IF(V5&gt;=Supuestos!$C$65,Supuestos!$C$64*(1+Supuestos!$C$39)^(V6-1),0)</f>
        <v>0</v>
      </c>
      <c r="W43" s="43" t="n">
        <f aca="false">IF(W5&gt;=Supuestos!$C$65,Supuestos!$C$64*(1+Supuestos!$C$39)^(W6-1),0)</f>
        <v>0</v>
      </c>
      <c r="X43" s="43" t="n">
        <f aca="false">IF(X5&gt;=Supuestos!$C$65,Supuestos!$C$64*(1+Supuestos!$C$39)^(X6-1),0)</f>
        <v>0</v>
      </c>
      <c r="Y43" s="43" t="n">
        <f aca="false">IF(Y5&gt;=Supuestos!$C$65,Supuestos!$C$64*(1+Supuestos!$C$39)^(Y6-1),0)</f>
        <v>0</v>
      </c>
      <c r="Z43" s="43" t="n">
        <f aca="false">IF(Z5&gt;=Supuestos!$C$65,Supuestos!$C$64*(1+Supuestos!$C$39)^(Z6-1),0)</f>
        <v>0</v>
      </c>
      <c r="AA43" s="43" t="n">
        <f aca="false">IF(AA5&gt;=Supuestos!$C$65,Supuestos!$C$64*(1+Supuestos!$C$39)^(AA6-1),0)</f>
        <v>551250</v>
      </c>
      <c r="AB43" s="43" t="n">
        <f aca="false">IF(AB5&gt;=Supuestos!$C$65,Supuestos!$C$64*(1+Supuestos!$C$39)^(AB6-1),0)</f>
        <v>551250</v>
      </c>
      <c r="AC43" s="43" t="n">
        <f aca="false">IF(AC5&gt;=Supuestos!$C$65,Supuestos!$C$64*(1+Supuestos!$C$39)^(AC6-1),0)</f>
        <v>551250</v>
      </c>
      <c r="AD43" s="43" t="n">
        <f aca="false">IF(AD5&gt;=Supuestos!$C$65,Supuestos!$C$64*(1+Supuestos!$C$39)^(AD6-1),0)</f>
        <v>551250</v>
      </c>
      <c r="AE43" s="43" t="n">
        <f aca="false">IF(AE5&gt;=Supuestos!$C$65,Supuestos!$C$64*(1+Supuestos!$C$39)^(AE6-1),0)</f>
        <v>551250</v>
      </c>
      <c r="AF43" s="43" t="n">
        <f aca="false">IF(AF5&gt;=Supuestos!$C$65,Supuestos!$C$64*(1+Supuestos!$C$39)^(AF6-1),0)</f>
        <v>551250</v>
      </c>
      <c r="AG43" s="43" t="n">
        <f aca="false">IF(AG5&gt;=Supuestos!$C$65,Supuestos!$C$64*(1+Supuestos!$C$39)^(AG6-1),0)</f>
        <v>551250</v>
      </c>
      <c r="AH43" s="43" t="n">
        <f aca="false">IF(AH5&gt;=Supuestos!$C$65,Supuestos!$C$64*(1+Supuestos!$C$39)^(AH6-1),0)</f>
        <v>551250</v>
      </c>
      <c r="AI43" s="43" t="n">
        <f aca="false">IF(AI5&gt;=Supuestos!$C$65,Supuestos!$C$64*(1+Supuestos!$C$39)^(AI6-1),0)</f>
        <v>551250</v>
      </c>
      <c r="AJ43" s="43" t="n">
        <f aca="false">IF(AJ5&gt;=Supuestos!$C$65,Supuestos!$C$64*(1+Supuestos!$C$39)^(AJ6-1),0)</f>
        <v>551250</v>
      </c>
      <c r="AK43" s="43" t="n">
        <f aca="false">IF(AK5&gt;=Supuestos!$C$65,Supuestos!$C$64*(1+Supuestos!$C$39)^(AK6-1),0)</f>
        <v>551250</v>
      </c>
      <c r="AL43" s="43" t="n">
        <f aca="false">IF(AL5&gt;=Supuestos!$C$65,Supuestos!$C$64*(1+Supuestos!$C$39)^(AL6-1),0)</f>
        <v>551250</v>
      </c>
      <c r="AM43" s="43" t="n">
        <f aca="false">IF(AM5&gt;=Supuestos!$C$65,Supuestos!$C$64*(1+Supuestos!$C$39)^(AM6-1),0)</f>
        <v>578812.5</v>
      </c>
      <c r="AN43" s="43" t="n">
        <f aca="false">IF(AN5&gt;=Supuestos!$C$65,Supuestos!$C$64*(1+Supuestos!$C$39)^(AN6-1),0)</f>
        <v>578812.5</v>
      </c>
      <c r="AO43" s="43" t="n">
        <f aca="false">IF(AO5&gt;=Supuestos!$C$65,Supuestos!$C$64*(1+Supuestos!$C$39)^(AO6-1),0)</f>
        <v>578812.5</v>
      </c>
      <c r="AP43" s="43" t="n">
        <f aca="false">IF(AP5&gt;=Supuestos!$C$65,Supuestos!$C$64*(1+Supuestos!$C$39)^(AP6-1),0)</f>
        <v>578812.5</v>
      </c>
      <c r="AQ43" s="43" t="n">
        <f aca="false">IF(AQ5&gt;=Supuestos!$C$65,Supuestos!$C$64*(1+Supuestos!$C$39)^(AQ6-1),0)</f>
        <v>578812.5</v>
      </c>
      <c r="AR43" s="43" t="n">
        <f aca="false">IF(AR5&gt;=Supuestos!$C$65,Supuestos!$C$64*(1+Supuestos!$C$39)^(AR6-1),0)</f>
        <v>578812.5</v>
      </c>
      <c r="AS43" s="43" t="n">
        <f aca="false">IF(AS5&gt;=Supuestos!$C$65,Supuestos!$C$64*(1+Supuestos!$C$39)^(AS6-1),0)</f>
        <v>578812.5</v>
      </c>
      <c r="AT43" s="43" t="n">
        <f aca="false">IF(AT5&gt;=Supuestos!$C$65,Supuestos!$C$64*(1+Supuestos!$C$39)^(AT6-1),0)</f>
        <v>578812.5</v>
      </c>
      <c r="AU43" s="43" t="n">
        <f aca="false">IF(AU5&gt;=Supuestos!$C$65,Supuestos!$C$64*(1+Supuestos!$C$39)^(AU6-1),0)</f>
        <v>578812.5</v>
      </c>
      <c r="AV43" s="43" t="n">
        <f aca="false">IF(AV5&gt;=Supuestos!$C$65,Supuestos!$C$64*(1+Supuestos!$C$39)^(AV6-1),0)</f>
        <v>578812.5</v>
      </c>
      <c r="AW43" s="43" t="n">
        <f aca="false">IF(AW5&gt;=Supuestos!$C$65,Supuestos!$C$64*(1+Supuestos!$C$39)^(AW6-1),0)</f>
        <v>578812.5</v>
      </c>
      <c r="AX43" s="43" t="n">
        <f aca="false">IF(AX5&gt;=Supuestos!$C$65,Supuestos!$C$64*(1+Supuestos!$C$39)^(AX6-1),0)</f>
        <v>578812.5</v>
      </c>
      <c r="AY43" s="43" t="n">
        <f aca="false">IF(AY5&gt;=Supuestos!$C$65,Supuestos!$C$64*(1+Supuestos!$C$39)^(AY6-1),0)</f>
        <v>607753.125</v>
      </c>
      <c r="AZ43" s="43" t="n">
        <f aca="false">IF(AZ5&gt;=Supuestos!$C$65,Supuestos!$C$64*(1+Supuestos!$C$39)^(AZ6-1),0)</f>
        <v>607753.125</v>
      </c>
      <c r="BA43" s="43" t="n">
        <f aca="false">IF(BA5&gt;=Supuestos!$C$65,Supuestos!$C$64*(1+Supuestos!$C$39)^(BA6-1),0)</f>
        <v>607753.125</v>
      </c>
      <c r="BB43" s="43" t="n">
        <f aca="false">IF(BB5&gt;=Supuestos!$C$65,Supuestos!$C$64*(1+Supuestos!$C$39)^(BB6-1),0)</f>
        <v>607753.125</v>
      </c>
      <c r="BC43" s="43" t="n">
        <f aca="false">IF(BC5&gt;=Supuestos!$C$65,Supuestos!$C$64*(1+Supuestos!$C$39)^(BC6-1),0)</f>
        <v>607753.125</v>
      </c>
      <c r="BD43" s="43" t="n">
        <f aca="false">IF(BD5&gt;=Supuestos!$C$65,Supuestos!$C$64*(1+Supuestos!$C$39)^(BD6-1),0)</f>
        <v>607753.125</v>
      </c>
      <c r="BE43" s="43" t="n">
        <f aca="false">IF(BE5&gt;=Supuestos!$C$65,Supuestos!$C$64*(1+Supuestos!$C$39)^(BE6-1),0)</f>
        <v>607753.125</v>
      </c>
      <c r="BF43" s="43" t="n">
        <f aca="false">IF(BF5&gt;=Supuestos!$C$65,Supuestos!$C$64*(1+Supuestos!$C$39)^(BF6-1),0)</f>
        <v>607753.125</v>
      </c>
      <c r="BG43" s="43" t="n">
        <f aca="false">IF(BG5&gt;=Supuestos!$C$65,Supuestos!$C$64*(1+Supuestos!$C$39)^(BG6-1),0)</f>
        <v>607753.125</v>
      </c>
      <c r="BH43" s="43" t="n">
        <f aca="false">IF(BH5&gt;=Supuestos!$C$65,Supuestos!$C$64*(1+Supuestos!$C$39)^(BH6-1),0)</f>
        <v>607753.125</v>
      </c>
      <c r="BI43" s="43" t="n">
        <f aca="false">IF(BI5&gt;=Supuestos!$C$65,Supuestos!$C$64*(1+Supuestos!$C$39)^(BI6-1),0)</f>
        <v>607753.125</v>
      </c>
      <c r="BJ43" s="43" t="n">
        <f aca="false">IF(BJ5&gt;=Supuestos!$C$65,Supuestos!$C$64*(1+Supuestos!$C$39)^(BJ6-1),0)</f>
        <v>607753.125</v>
      </c>
    </row>
    <row r="44" customFormat="false" ht="15" hidden="false" customHeight="true" outlineLevel="0" collapsed="false">
      <c r="A44" s="10" t="s">
        <v>266</v>
      </c>
      <c r="B44" s="7" t="s">
        <v>146</v>
      </c>
      <c r="C44" s="43" t="n">
        <f aca="false">IF(C6=1,Supuestos!$C$66,Supuestos!$C$67*(1+Supuestos!$C$39)^(C6-2))</f>
        <v>200000</v>
      </c>
      <c r="D44" s="43" t="n">
        <f aca="false">IF(D6=1,Supuestos!$C$66,Supuestos!$C$67*(1+Supuestos!$C$39)^(D6-2))</f>
        <v>200000</v>
      </c>
      <c r="E44" s="43" t="n">
        <f aca="false">IF(E6=1,Supuestos!$C$66,Supuestos!$C$67*(1+Supuestos!$C$39)^(E6-2))</f>
        <v>200000</v>
      </c>
      <c r="F44" s="43" t="n">
        <f aca="false">IF(F6=1,Supuestos!$C$66,Supuestos!$C$67*(1+Supuestos!$C$39)^(F6-2))</f>
        <v>200000</v>
      </c>
      <c r="G44" s="43" t="n">
        <f aca="false">IF(G6=1,Supuestos!$C$66,Supuestos!$C$67*(1+Supuestos!$C$39)^(G6-2))</f>
        <v>200000</v>
      </c>
      <c r="H44" s="43" t="n">
        <f aca="false">IF(H6=1,Supuestos!$C$66,Supuestos!$C$67*(1+Supuestos!$C$39)^(H6-2))</f>
        <v>200000</v>
      </c>
      <c r="I44" s="43" t="n">
        <f aca="false">IF(I6=1,Supuestos!$C$66,Supuestos!$C$67*(1+Supuestos!$C$39)^(I6-2))</f>
        <v>200000</v>
      </c>
      <c r="J44" s="43" t="n">
        <f aca="false">IF(J6=1,Supuestos!$C$66,Supuestos!$C$67*(1+Supuestos!$C$39)^(J6-2))</f>
        <v>200000</v>
      </c>
      <c r="K44" s="43" t="n">
        <f aca="false">IF(K6=1,Supuestos!$C$66,Supuestos!$C$67*(1+Supuestos!$C$39)^(K6-2))</f>
        <v>200000</v>
      </c>
      <c r="L44" s="43" t="n">
        <f aca="false">IF(L6=1,Supuestos!$C$66,Supuestos!$C$67*(1+Supuestos!$C$39)^(L6-2))</f>
        <v>200000</v>
      </c>
      <c r="M44" s="43" t="n">
        <f aca="false">IF(M6=1,Supuestos!$C$66,Supuestos!$C$67*(1+Supuestos!$C$39)^(M6-2))</f>
        <v>200000</v>
      </c>
      <c r="N44" s="43" t="n">
        <f aca="false">IF(N6=1,Supuestos!$C$66,Supuestos!$C$67*(1+Supuestos!$C$39)^(N6-2))</f>
        <v>200000</v>
      </c>
      <c r="O44" s="43" t="n">
        <f aca="false">IF(O6=1,Supuestos!$C$66,Supuestos!$C$67*(1+Supuestos!$C$39)^(O6-2))</f>
        <v>400000</v>
      </c>
      <c r="P44" s="43" t="n">
        <f aca="false">IF(P6=1,Supuestos!$C$66,Supuestos!$C$67*(1+Supuestos!$C$39)^(P6-2))</f>
        <v>400000</v>
      </c>
      <c r="Q44" s="43" t="n">
        <f aca="false">IF(Q6=1,Supuestos!$C$66,Supuestos!$C$67*(1+Supuestos!$C$39)^(Q6-2))</f>
        <v>400000</v>
      </c>
      <c r="R44" s="43" t="n">
        <f aca="false">IF(R6=1,Supuestos!$C$66,Supuestos!$C$67*(1+Supuestos!$C$39)^(R6-2))</f>
        <v>400000</v>
      </c>
      <c r="S44" s="43" t="n">
        <f aca="false">IF(S6=1,Supuestos!$C$66,Supuestos!$C$67*(1+Supuestos!$C$39)^(S6-2))</f>
        <v>400000</v>
      </c>
      <c r="T44" s="43" t="n">
        <f aca="false">IF(T6=1,Supuestos!$C$66,Supuestos!$C$67*(1+Supuestos!$C$39)^(T6-2))</f>
        <v>400000</v>
      </c>
      <c r="U44" s="43" t="n">
        <f aca="false">IF(U6=1,Supuestos!$C$66,Supuestos!$C$67*(1+Supuestos!$C$39)^(U6-2))</f>
        <v>400000</v>
      </c>
      <c r="V44" s="43" t="n">
        <f aca="false">IF(V6=1,Supuestos!$C$66,Supuestos!$C$67*(1+Supuestos!$C$39)^(V6-2))</f>
        <v>400000</v>
      </c>
      <c r="W44" s="43" t="n">
        <f aca="false">IF(W6=1,Supuestos!$C$66,Supuestos!$C$67*(1+Supuestos!$C$39)^(W6-2))</f>
        <v>400000</v>
      </c>
      <c r="X44" s="43" t="n">
        <f aca="false">IF(X6=1,Supuestos!$C$66,Supuestos!$C$67*(1+Supuestos!$C$39)^(X6-2))</f>
        <v>400000</v>
      </c>
      <c r="Y44" s="43" t="n">
        <f aca="false">IF(Y6=1,Supuestos!$C$66,Supuestos!$C$67*(1+Supuestos!$C$39)^(Y6-2))</f>
        <v>400000</v>
      </c>
      <c r="Z44" s="43" t="n">
        <f aca="false">IF(Z6=1,Supuestos!$C$66,Supuestos!$C$67*(1+Supuestos!$C$39)^(Z6-2))</f>
        <v>400000</v>
      </c>
      <c r="AA44" s="43" t="n">
        <f aca="false">IF(AA6=1,Supuestos!$C$66,Supuestos!$C$67*(1+Supuestos!$C$39)^(AA6-2))</f>
        <v>420000</v>
      </c>
      <c r="AB44" s="43" t="n">
        <f aca="false">IF(AB6=1,Supuestos!$C$66,Supuestos!$C$67*(1+Supuestos!$C$39)^(AB6-2))</f>
        <v>420000</v>
      </c>
      <c r="AC44" s="43" t="n">
        <f aca="false">IF(AC6=1,Supuestos!$C$66,Supuestos!$C$67*(1+Supuestos!$C$39)^(AC6-2))</f>
        <v>420000</v>
      </c>
      <c r="AD44" s="43" t="n">
        <f aca="false">IF(AD6=1,Supuestos!$C$66,Supuestos!$C$67*(1+Supuestos!$C$39)^(AD6-2))</f>
        <v>420000</v>
      </c>
      <c r="AE44" s="43" t="n">
        <f aca="false">IF(AE6=1,Supuestos!$C$66,Supuestos!$C$67*(1+Supuestos!$C$39)^(AE6-2))</f>
        <v>420000</v>
      </c>
      <c r="AF44" s="43" t="n">
        <f aca="false">IF(AF6=1,Supuestos!$C$66,Supuestos!$C$67*(1+Supuestos!$C$39)^(AF6-2))</f>
        <v>420000</v>
      </c>
      <c r="AG44" s="43" t="n">
        <f aca="false">IF(AG6=1,Supuestos!$C$66,Supuestos!$C$67*(1+Supuestos!$C$39)^(AG6-2))</f>
        <v>420000</v>
      </c>
      <c r="AH44" s="43" t="n">
        <f aca="false">IF(AH6=1,Supuestos!$C$66,Supuestos!$C$67*(1+Supuestos!$C$39)^(AH6-2))</f>
        <v>420000</v>
      </c>
      <c r="AI44" s="43" t="n">
        <f aca="false">IF(AI6=1,Supuestos!$C$66,Supuestos!$C$67*(1+Supuestos!$C$39)^(AI6-2))</f>
        <v>420000</v>
      </c>
      <c r="AJ44" s="43" t="n">
        <f aca="false">IF(AJ6=1,Supuestos!$C$66,Supuestos!$C$67*(1+Supuestos!$C$39)^(AJ6-2))</f>
        <v>420000</v>
      </c>
      <c r="AK44" s="43" t="n">
        <f aca="false">IF(AK6=1,Supuestos!$C$66,Supuestos!$C$67*(1+Supuestos!$C$39)^(AK6-2))</f>
        <v>420000</v>
      </c>
      <c r="AL44" s="43" t="n">
        <f aca="false">IF(AL6=1,Supuestos!$C$66,Supuestos!$C$67*(1+Supuestos!$C$39)^(AL6-2))</f>
        <v>420000</v>
      </c>
      <c r="AM44" s="43" t="n">
        <f aca="false">IF(AM6=1,Supuestos!$C$66,Supuestos!$C$67*(1+Supuestos!$C$39)^(AM6-2))</f>
        <v>441000</v>
      </c>
      <c r="AN44" s="43" t="n">
        <f aca="false">IF(AN6=1,Supuestos!$C$66,Supuestos!$C$67*(1+Supuestos!$C$39)^(AN6-2))</f>
        <v>441000</v>
      </c>
      <c r="AO44" s="43" t="n">
        <f aca="false">IF(AO6=1,Supuestos!$C$66,Supuestos!$C$67*(1+Supuestos!$C$39)^(AO6-2))</f>
        <v>441000</v>
      </c>
      <c r="AP44" s="43" t="n">
        <f aca="false">IF(AP6=1,Supuestos!$C$66,Supuestos!$C$67*(1+Supuestos!$C$39)^(AP6-2))</f>
        <v>441000</v>
      </c>
      <c r="AQ44" s="43" t="n">
        <f aca="false">IF(AQ6=1,Supuestos!$C$66,Supuestos!$C$67*(1+Supuestos!$C$39)^(AQ6-2))</f>
        <v>441000</v>
      </c>
      <c r="AR44" s="43" t="n">
        <f aca="false">IF(AR6=1,Supuestos!$C$66,Supuestos!$C$67*(1+Supuestos!$C$39)^(AR6-2))</f>
        <v>441000</v>
      </c>
      <c r="AS44" s="43" t="n">
        <f aca="false">IF(AS6=1,Supuestos!$C$66,Supuestos!$C$67*(1+Supuestos!$C$39)^(AS6-2))</f>
        <v>441000</v>
      </c>
      <c r="AT44" s="43" t="n">
        <f aca="false">IF(AT6=1,Supuestos!$C$66,Supuestos!$C$67*(1+Supuestos!$C$39)^(AT6-2))</f>
        <v>441000</v>
      </c>
      <c r="AU44" s="43" t="n">
        <f aca="false">IF(AU6=1,Supuestos!$C$66,Supuestos!$C$67*(1+Supuestos!$C$39)^(AU6-2))</f>
        <v>441000</v>
      </c>
      <c r="AV44" s="43" t="n">
        <f aca="false">IF(AV6=1,Supuestos!$C$66,Supuestos!$C$67*(1+Supuestos!$C$39)^(AV6-2))</f>
        <v>441000</v>
      </c>
      <c r="AW44" s="43" t="n">
        <f aca="false">IF(AW6=1,Supuestos!$C$66,Supuestos!$C$67*(1+Supuestos!$C$39)^(AW6-2))</f>
        <v>441000</v>
      </c>
      <c r="AX44" s="43" t="n">
        <f aca="false">IF(AX6=1,Supuestos!$C$66,Supuestos!$C$67*(1+Supuestos!$C$39)^(AX6-2))</f>
        <v>441000</v>
      </c>
      <c r="AY44" s="43" t="n">
        <f aca="false">IF(AY6=1,Supuestos!$C$66,Supuestos!$C$67*(1+Supuestos!$C$39)^(AY6-2))</f>
        <v>463050</v>
      </c>
      <c r="AZ44" s="43" t="n">
        <f aca="false">IF(AZ6=1,Supuestos!$C$66,Supuestos!$C$67*(1+Supuestos!$C$39)^(AZ6-2))</f>
        <v>463050</v>
      </c>
      <c r="BA44" s="43" t="n">
        <f aca="false">IF(BA6=1,Supuestos!$C$66,Supuestos!$C$67*(1+Supuestos!$C$39)^(BA6-2))</f>
        <v>463050</v>
      </c>
      <c r="BB44" s="43" t="n">
        <f aca="false">IF(BB6=1,Supuestos!$C$66,Supuestos!$C$67*(1+Supuestos!$C$39)^(BB6-2))</f>
        <v>463050</v>
      </c>
      <c r="BC44" s="43" t="n">
        <f aca="false">IF(BC6=1,Supuestos!$C$66,Supuestos!$C$67*(1+Supuestos!$C$39)^(BC6-2))</f>
        <v>463050</v>
      </c>
      <c r="BD44" s="43" t="n">
        <f aca="false">IF(BD6=1,Supuestos!$C$66,Supuestos!$C$67*(1+Supuestos!$C$39)^(BD6-2))</f>
        <v>463050</v>
      </c>
      <c r="BE44" s="43" t="n">
        <f aca="false">IF(BE6=1,Supuestos!$C$66,Supuestos!$C$67*(1+Supuestos!$C$39)^(BE6-2))</f>
        <v>463050</v>
      </c>
      <c r="BF44" s="43" t="n">
        <f aca="false">IF(BF6=1,Supuestos!$C$66,Supuestos!$C$67*(1+Supuestos!$C$39)^(BF6-2))</f>
        <v>463050</v>
      </c>
      <c r="BG44" s="43" t="n">
        <f aca="false">IF(BG6=1,Supuestos!$C$66,Supuestos!$C$67*(1+Supuestos!$C$39)^(BG6-2))</f>
        <v>463050</v>
      </c>
      <c r="BH44" s="43" t="n">
        <f aca="false">IF(BH6=1,Supuestos!$C$66,Supuestos!$C$67*(1+Supuestos!$C$39)^(BH6-2))</f>
        <v>463050</v>
      </c>
      <c r="BI44" s="43" t="n">
        <f aca="false">IF(BI6=1,Supuestos!$C$66,Supuestos!$C$67*(1+Supuestos!$C$39)^(BI6-2))</f>
        <v>463050</v>
      </c>
      <c r="BJ44" s="43" t="n">
        <f aca="false">IF(BJ6=1,Supuestos!$C$66,Supuestos!$C$67*(1+Supuestos!$C$39)^(BJ6-2))</f>
        <v>463050</v>
      </c>
    </row>
    <row r="45" customFormat="false" ht="15" hidden="false" customHeight="true" outlineLevel="0" collapsed="false">
      <c r="A45" s="10" t="s">
        <v>267</v>
      </c>
      <c r="B45" s="7" t="s">
        <v>146</v>
      </c>
      <c r="C45" s="43" t="n">
        <f aca="false">(Supuestos!$C$68+Supuestos!$C$69)*(1+Supuestos!$C$39)^(C6-1)</f>
        <v>110000</v>
      </c>
      <c r="D45" s="43" t="n">
        <f aca="false">(Supuestos!$C$68+Supuestos!$C$69)*(1+Supuestos!$C$39)^(D6-1)</f>
        <v>110000</v>
      </c>
      <c r="E45" s="43" t="n">
        <f aca="false">(Supuestos!$C$68+Supuestos!$C$69)*(1+Supuestos!$C$39)^(E6-1)</f>
        <v>110000</v>
      </c>
      <c r="F45" s="43" t="n">
        <f aca="false">(Supuestos!$C$68+Supuestos!$C$69)*(1+Supuestos!$C$39)^(F6-1)</f>
        <v>110000</v>
      </c>
      <c r="G45" s="43" t="n">
        <f aca="false">(Supuestos!$C$68+Supuestos!$C$69)*(1+Supuestos!$C$39)^(G6-1)</f>
        <v>110000</v>
      </c>
      <c r="H45" s="43" t="n">
        <f aca="false">(Supuestos!$C$68+Supuestos!$C$69)*(1+Supuestos!$C$39)^(H6-1)</f>
        <v>110000</v>
      </c>
      <c r="I45" s="43" t="n">
        <f aca="false">(Supuestos!$C$68+Supuestos!$C$69)*(1+Supuestos!$C$39)^(I6-1)</f>
        <v>110000</v>
      </c>
      <c r="J45" s="43" t="n">
        <f aca="false">(Supuestos!$C$68+Supuestos!$C$69)*(1+Supuestos!$C$39)^(J6-1)</f>
        <v>110000</v>
      </c>
      <c r="K45" s="43" t="n">
        <f aca="false">(Supuestos!$C$68+Supuestos!$C$69)*(1+Supuestos!$C$39)^(K6-1)</f>
        <v>110000</v>
      </c>
      <c r="L45" s="43" t="n">
        <f aca="false">(Supuestos!$C$68+Supuestos!$C$69)*(1+Supuestos!$C$39)^(L6-1)</f>
        <v>110000</v>
      </c>
      <c r="M45" s="43" t="n">
        <f aca="false">(Supuestos!$C$68+Supuestos!$C$69)*(1+Supuestos!$C$39)^(M6-1)</f>
        <v>110000</v>
      </c>
      <c r="N45" s="43" t="n">
        <f aca="false">(Supuestos!$C$68+Supuestos!$C$69)*(1+Supuestos!$C$39)^(N6-1)</f>
        <v>110000</v>
      </c>
      <c r="O45" s="43" t="n">
        <f aca="false">(Supuestos!$C$68+Supuestos!$C$69)*(1+Supuestos!$C$39)^(O6-1)</f>
        <v>115500</v>
      </c>
      <c r="P45" s="43" t="n">
        <f aca="false">(Supuestos!$C$68+Supuestos!$C$69)*(1+Supuestos!$C$39)^(P6-1)</f>
        <v>115500</v>
      </c>
      <c r="Q45" s="43" t="n">
        <f aca="false">(Supuestos!$C$68+Supuestos!$C$69)*(1+Supuestos!$C$39)^(Q6-1)</f>
        <v>115500</v>
      </c>
      <c r="R45" s="43" t="n">
        <f aca="false">(Supuestos!$C$68+Supuestos!$C$69)*(1+Supuestos!$C$39)^(R6-1)</f>
        <v>115500</v>
      </c>
      <c r="S45" s="43" t="n">
        <f aca="false">(Supuestos!$C$68+Supuestos!$C$69)*(1+Supuestos!$C$39)^(S6-1)</f>
        <v>115500</v>
      </c>
      <c r="T45" s="43" t="n">
        <f aca="false">(Supuestos!$C$68+Supuestos!$C$69)*(1+Supuestos!$C$39)^(T6-1)</f>
        <v>115500</v>
      </c>
      <c r="U45" s="43" t="n">
        <f aca="false">(Supuestos!$C$68+Supuestos!$C$69)*(1+Supuestos!$C$39)^(U6-1)</f>
        <v>115500</v>
      </c>
      <c r="V45" s="43" t="n">
        <f aca="false">(Supuestos!$C$68+Supuestos!$C$69)*(1+Supuestos!$C$39)^(V6-1)</f>
        <v>115500</v>
      </c>
      <c r="W45" s="43" t="n">
        <f aca="false">(Supuestos!$C$68+Supuestos!$C$69)*(1+Supuestos!$C$39)^(W6-1)</f>
        <v>115500</v>
      </c>
      <c r="X45" s="43" t="n">
        <f aca="false">(Supuestos!$C$68+Supuestos!$C$69)*(1+Supuestos!$C$39)^(X6-1)</f>
        <v>115500</v>
      </c>
      <c r="Y45" s="43" t="n">
        <f aca="false">(Supuestos!$C$68+Supuestos!$C$69)*(1+Supuestos!$C$39)^(Y6-1)</f>
        <v>115500</v>
      </c>
      <c r="Z45" s="43" t="n">
        <f aca="false">(Supuestos!$C$68+Supuestos!$C$69)*(1+Supuestos!$C$39)^(Z6-1)</f>
        <v>115500</v>
      </c>
      <c r="AA45" s="43" t="n">
        <f aca="false">(Supuestos!$C$68+Supuestos!$C$69)*(1+Supuestos!$C$39)^(AA6-1)</f>
        <v>121275</v>
      </c>
      <c r="AB45" s="43" t="n">
        <f aca="false">(Supuestos!$C$68+Supuestos!$C$69)*(1+Supuestos!$C$39)^(AB6-1)</f>
        <v>121275</v>
      </c>
      <c r="AC45" s="43" t="n">
        <f aca="false">(Supuestos!$C$68+Supuestos!$C$69)*(1+Supuestos!$C$39)^(AC6-1)</f>
        <v>121275</v>
      </c>
      <c r="AD45" s="43" t="n">
        <f aca="false">(Supuestos!$C$68+Supuestos!$C$69)*(1+Supuestos!$C$39)^(AD6-1)</f>
        <v>121275</v>
      </c>
      <c r="AE45" s="43" t="n">
        <f aca="false">(Supuestos!$C$68+Supuestos!$C$69)*(1+Supuestos!$C$39)^(AE6-1)</f>
        <v>121275</v>
      </c>
      <c r="AF45" s="43" t="n">
        <f aca="false">(Supuestos!$C$68+Supuestos!$C$69)*(1+Supuestos!$C$39)^(AF6-1)</f>
        <v>121275</v>
      </c>
      <c r="AG45" s="43" t="n">
        <f aca="false">(Supuestos!$C$68+Supuestos!$C$69)*(1+Supuestos!$C$39)^(AG6-1)</f>
        <v>121275</v>
      </c>
      <c r="AH45" s="43" t="n">
        <f aca="false">(Supuestos!$C$68+Supuestos!$C$69)*(1+Supuestos!$C$39)^(AH6-1)</f>
        <v>121275</v>
      </c>
      <c r="AI45" s="43" t="n">
        <f aca="false">(Supuestos!$C$68+Supuestos!$C$69)*(1+Supuestos!$C$39)^(AI6-1)</f>
        <v>121275</v>
      </c>
      <c r="AJ45" s="43" t="n">
        <f aca="false">(Supuestos!$C$68+Supuestos!$C$69)*(1+Supuestos!$C$39)^(AJ6-1)</f>
        <v>121275</v>
      </c>
      <c r="AK45" s="43" t="n">
        <f aca="false">(Supuestos!$C$68+Supuestos!$C$69)*(1+Supuestos!$C$39)^(AK6-1)</f>
        <v>121275</v>
      </c>
      <c r="AL45" s="43" t="n">
        <f aca="false">(Supuestos!$C$68+Supuestos!$C$69)*(1+Supuestos!$C$39)^(AL6-1)</f>
        <v>121275</v>
      </c>
      <c r="AM45" s="43" t="n">
        <f aca="false">(Supuestos!$C$68+Supuestos!$C$69)*(1+Supuestos!$C$39)^(AM6-1)</f>
        <v>127338.75</v>
      </c>
      <c r="AN45" s="43" t="n">
        <f aca="false">(Supuestos!$C$68+Supuestos!$C$69)*(1+Supuestos!$C$39)^(AN6-1)</f>
        <v>127338.75</v>
      </c>
      <c r="AO45" s="43" t="n">
        <f aca="false">(Supuestos!$C$68+Supuestos!$C$69)*(1+Supuestos!$C$39)^(AO6-1)</f>
        <v>127338.75</v>
      </c>
      <c r="AP45" s="43" t="n">
        <f aca="false">(Supuestos!$C$68+Supuestos!$C$69)*(1+Supuestos!$C$39)^(AP6-1)</f>
        <v>127338.75</v>
      </c>
      <c r="AQ45" s="43" t="n">
        <f aca="false">(Supuestos!$C$68+Supuestos!$C$69)*(1+Supuestos!$C$39)^(AQ6-1)</f>
        <v>127338.75</v>
      </c>
      <c r="AR45" s="43" t="n">
        <f aca="false">(Supuestos!$C$68+Supuestos!$C$69)*(1+Supuestos!$C$39)^(AR6-1)</f>
        <v>127338.75</v>
      </c>
      <c r="AS45" s="43" t="n">
        <f aca="false">(Supuestos!$C$68+Supuestos!$C$69)*(1+Supuestos!$C$39)^(AS6-1)</f>
        <v>127338.75</v>
      </c>
      <c r="AT45" s="43" t="n">
        <f aca="false">(Supuestos!$C$68+Supuestos!$C$69)*(1+Supuestos!$C$39)^(AT6-1)</f>
        <v>127338.75</v>
      </c>
      <c r="AU45" s="43" t="n">
        <f aca="false">(Supuestos!$C$68+Supuestos!$C$69)*(1+Supuestos!$C$39)^(AU6-1)</f>
        <v>127338.75</v>
      </c>
      <c r="AV45" s="43" t="n">
        <f aca="false">(Supuestos!$C$68+Supuestos!$C$69)*(1+Supuestos!$C$39)^(AV6-1)</f>
        <v>127338.75</v>
      </c>
      <c r="AW45" s="43" t="n">
        <f aca="false">(Supuestos!$C$68+Supuestos!$C$69)*(1+Supuestos!$C$39)^(AW6-1)</f>
        <v>127338.75</v>
      </c>
      <c r="AX45" s="43" t="n">
        <f aca="false">(Supuestos!$C$68+Supuestos!$C$69)*(1+Supuestos!$C$39)^(AX6-1)</f>
        <v>127338.75</v>
      </c>
      <c r="AY45" s="43" t="n">
        <f aca="false">(Supuestos!$C$68+Supuestos!$C$69)*(1+Supuestos!$C$39)^(AY6-1)</f>
        <v>133705.6875</v>
      </c>
      <c r="AZ45" s="43" t="n">
        <f aca="false">(Supuestos!$C$68+Supuestos!$C$69)*(1+Supuestos!$C$39)^(AZ6-1)</f>
        <v>133705.6875</v>
      </c>
      <c r="BA45" s="43" t="n">
        <f aca="false">(Supuestos!$C$68+Supuestos!$C$69)*(1+Supuestos!$C$39)^(BA6-1)</f>
        <v>133705.6875</v>
      </c>
      <c r="BB45" s="43" t="n">
        <f aca="false">(Supuestos!$C$68+Supuestos!$C$69)*(1+Supuestos!$C$39)^(BB6-1)</f>
        <v>133705.6875</v>
      </c>
      <c r="BC45" s="43" t="n">
        <f aca="false">(Supuestos!$C$68+Supuestos!$C$69)*(1+Supuestos!$C$39)^(BC6-1)</f>
        <v>133705.6875</v>
      </c>
      <c r="BD45" s="43" t="n">
        <f aca="false">(Supuestos!$C$68+Supuestos!$C$69)*(1+Supuestos!$C$39)^(BD6-1)</f>
        <v>133705.6875</v>
      </c>
      <c r="BE45" s="43" t="n">
        <f aca="false">(Supuestos!$C$68+Supuestos!$C$69)*(1+Supuestos!$C$39)^(BE6-1)</f>
        <v>133705.6875</v>
      </c>
      <c r="BF45" s="43" t="n">
        <f aca="false">(Supuestos!$C$68+Supuestos!$C$69)*(1+Supuestos!$C$39)^(BF6-1)</f>
        <v>133705.6875</v>
      </c>
      <c r="BG45" s="43" t="n">
        <f aca="false">(Supuestos!$C$68+Supuestos!$C$69)*(1+Supuestos!$C$39)^(BG6-1)</f>
        <v>133705.6875</v>
      </c>
      <c r="BH45" s="43" t="n">
        <f aca="false">(Supuestos!$C$68+Supuestos!$C$69)*(1+Supuestos!$C$39)^(BH6-1)</f>
        <v>133705.6875</v>
      </c>
      <c r="BI45" s="43" t="n">
        <f aca="false">(Supuestos!$C$68+Supuestos!$C$69)*(1+Supuestos!$C$39)^(BI6-1)</f>
        <v>133705.6875</v>
      </c>
      <c r="BJ45" s="43" t="n">
        <f aca="false">(Supuestos!$C$68+Supuestos!$C$69)*(1+Supuestos!$C$39)^(BJ6-1)</f>
        <v>133705.6875</v>
      </c>
    </row>
    <row r="46" customFormat="false" ht="15" hidden="false" customHeight="true" outlineLevel="0" collapsed="false">
      <c r="A46" s="16" t="s">
        <v>201</v>
      </c>
      <c r="B46" s="7" t="s">
        <v>146</v>
      </c>
      <c r="C46" s="35" t="n">
        <f aca="false">SUM(C41:C45)+C91</f>
        <v>980344.98</v>
      </c>
      <c r="D46" s="35" t="n">
        <f aca="false">SUM(D41:D45)+D91</f>
        <v>755734.98</v>
      </c>
      <c r="E46" s="35" t="n">
        <f aca="false">SUM(E41:E45)+E91</f>
        <v>1017844.98</v>
      </c>
      <c r="F46" s="35" t="n">
        <f aca="false">SUM(F41:F45)+F91</f>
        <v>1043434.98</v>
      </c>
      <c r="G46" s="35" t="n">
        <f aca="false">SUM(G41:G45)+G91</f>
        <v>1067854.98</v>
      </c>
      <c r="H46" s="35" t="n">
        <f aca="false">SUM(H41:H45)+H91</f>
        <v>1092844.98</v>
      </c>
      <c r="I46" s="35" t="n">
        <f aca="false">SUM(I41:I45)+I91</f>
        <v>1118434.98</v>
      </c>
      <c r="J46" s="35" t="n">
        <f aca="false">SUM(J41:J45)+J91</f>
        <v>1393054.98</v>
      </c>
      <c r="K46" s="35" t="n">
        <f aca="false">SUM(K41:K45)+K91</f>
        <v>1180354.98</v>
      </c>
      <c r="L46" s="35" t="n">
        <f aca="false">SUM(L41:L45)+L91</f>
        <v>1205344.98</v>
      </c>
      <c r="M46" s="35" t="n">
        <f aca="false">SUM(M41:M45)+M91</f>
        <v>1230934.98</v>
      </c>
      <c r="N46" s="35" t="n">
        <f aca="false">SUM(N41:N45)+N91</f>
        <v>1255354.98</v>
      </c>
      <c r="O46" s="35" t="n">
        <f aca="false">SUM(O41:O45)+O91</f>
        <v>1820983.3435</v>
      </c>
      <c r="P46" s="35" t="n">
        <f aca="false">SUM(P41:P45)+P91</f>
        <v>1860358.3435</v>
      </c>
      <c r="Q46" s="35" t="n">
        <f aca="false">SUM(Q41:Q45)+Q91</f>
        <v>1899733.3435</v>
      </c>
      <c r="R46" s="35" t="n">
        <f aca="false">SUM(R41:R45)+R91</f>
        <v>1939108.3435</v>
      </c>
      <c r="S46" s="35" t="n">
        <f aca="false">SUM(S41:S45)+S91</f>
        <v>1978483.3435</v>
      </c>
      <c r="T46" s="35" t="n">
        <f aca="false">SUM(T41:T45)+T91</f>
        <v>2017858.3435</v>
      </c>
      <c r="U46" s="35" t="n">
        <f aca="false">SUM(U41:U45)+U91</f>
        <v>2057233.3435</v>
      </c>
      <c r="V46" s="35" t="n">
        <f aca="false">SUM(V41:V45)+V91</f>
        <v>2096608.3435</v>
      </c>
      <c r="W46" s="35" t="n">
        <f aca="false">SUM(W41:W45)+W91</f>
        <v>2135983.3435</v>
      </c>
      <c r="X46" s="35" t="n">
        <f aca="false">SUM(X41:X45)+X91</f>
        <v>2175358.3435</v>
      </c>
      <c r="Y46" s="35" t="n">
        <f aca="false">SUM(Y41:Y45)+Y91</f>
        <v>2214733.3435</v>
      </c>
      <c r="Z46" s="35" t="n">
        <f aca="false">SUM(Z41:Z45)+Z91</f>
        <v>2254108.3435</v>
      </c>
      <c r="AA46" s="35" t="n">
        <f aca="false">SUM(AA41:AA45)+AA91</f>
        <v>3535764.1809</v>
      </c>
      <c r="AB46" s="35" t="n">
        <f aca="false">SUM(AB41:AB45)+AB91</f>
        <v>3604670.4309</v>
      </c>
      <c r="AC46" s="35" t="n">
        <f aca="false">SUM(AC41:AC45)+AC91</f>
        <v>3673576.6809</v>
      </c>
      <c r="AD46" s="35" t="n">
        <f aca="false">SUM(AD41:AD45)+AD91</f>
        <v>3742482.9309</v>
      </c>
      <c r="AE46" s="35" t="n">
        <f aca="false">SUM(AE41:AE45)+AE91</f>
        <v>3811389.1809</v>
      </c>
      <c r="AF46" s="35" t="n">
        <f aca="false">SUM(AF41:AF45)+AF91</f>
        <v>3880295.4309</v>
      </c>
      <c r="AG46" s="35" t="n">
        <f aca="false">SUM(AG41:AG45)+AG91</f>
        <v>3949201.6809</v>
      </c>
      <c r="AH46" s="35" t="n">
        <f aca="false">SUM(AH41:AH45)+AH91</f>
        <v>4018107.9309</v>
      </c>
      <c r="AI46" s="35" t="n">
        <f aca="false">SUM(AI41:AI45)+AI91</f>
        <v>4087014.1809</v>
      </c>
      <c r="AJ46" s="35" t="n">
        <f aca="false">SUM(AJ41:AJ45)+AJ91</f>
        <v>4155920.4309</v>
      </c>
      <c r="AK46" s="35" t="n">
        <f aca="false">SUM(AK41:AK45)+AK91</f>
        <v>4224826.6809</v>
      </c>
      <c r="AL46" s="35" t="n">
        <f aca="false">SUM(AL41:AL45)+AL91</f>
        <v>4293732.9309</v>
      </c>
      <c r="AM46" s="35" t="n">
        <f aca="false">SUM(AM41:AM45)+AM91</f>
        <v>19907547.3690739</v>
      </c>
      <c r="AN46" s="35" t="n">
        <f aca="false">SUM(AN41:AN45)+AN91</f>
        <v>19979898.9315739</v>
      </c>
      <c r="AO46" s="35" t="n">
        <f aca="false">SUM(AO41:AO45)+AO91</f>
        <v>20052250.4940739</v>
      </c>
      <c r="AP46" s="35" t="n">
        <f aca="false">SUM(AP41:AP45)+AP91</f>
        <v>20124602.0565739</v>
      </c>
      <c r="AQ46" s="35" t="n">
        <f aca="false">SUM(AQ41:AQ45)+AQ91</f>
        <v>20196953.6190739</v>
      </c>
      <c r="AR46" s="35" t="n">
        <f aca="false">SUM(AR41:AR45)+AR91</f>
        <v>20269305.1815739</v>
      </c>
      <c r="AS46" s="35" t="n">
        <f aca="false">SUM(AS41:AS45)+AS91</f>
        <v>20341656.7440739</v>
      </c>
      <c r="AT46" s="35" t="n">
        <f aca="false">SUM(AT41:AT45)+AT91</f>
        <v>20414008.3065739</v>
      </c>
      <c r="AU46" s="35" t="n">
        <f aca="false">SUM(AU41:AU45)+AU91</f>
        <v>20486359.8690739</v>
      </c>
      <c r="AV46" s="35" t="n">
        <f aca="false">SUM(AV41:AV45)+AV91</f>
        <v>20558711.4315739</v>
      </c>
      <c r="AW46" s="35" t="n">
        <f aca="false">SUM(AW41:AW45)+AW91</f>
        <v>20631062.9940739</v>
      </c>
      <c r="AX46" s="35" t="n">
        <f aca="false">SUM(AX41:AX45)+AX91</f>
        <v>20703414.5565739</v>
      </c>
      <c r="AY46" s="35" t="n">
        <f aca="false">SUM(AY41:AY45)+AY91</f>
        <v>21814554.4250276</v>
      </c>
      <c r="AZ46" s="35" t="n">
        <f aca="false">SUM(AZ41:AZ45)+AZ91</f>
        <v>21890523.5656526</v>
      </c>
      <c r="BA46" s="35" t="n">
        <f aca="false">SUM(BA41:BA45)+BA91</f>
        <v>21966492.7062776</v>
      </c>
      <c r="BB46" s="35" t="n">
        <f aca="false">SUM(BB41:BB45)+BB91</f>
        <v>28800828.7503284</v>
      </c>
      <c r="BC46" s="35" t="n">
        <f aca="false">SUM(BC41:BC45)+BC91</f>
        <v>25838032.2659534</v>
      </c>
      <c r="BD46" s="35" t="n">
        <f aca="false">SUM(BD41:BD45)+BD91</f>
        <v>25914001.4065784</v>
      </c>
      <c r="BE46" s="35" t="n">
        <f aca="false">SUM(BE41:BE45)+BE91</f>
        <v>25989970.5472034</v>
      </c>
      <c r="BF46" s="35" t="n">
        <f aca="false">SUM(BF41:BF45)+BF91</f>
        <v>26065939.6878284</v>
      </c>
      <c r="BG46" s="35" t="n">
        <f aca="false">SUM(BG41:BG45)+BG91</f>
        <v>26141908.8284534</v>
      </c>
      <c r="BH46" s="35" t="n">
        <f aca="false">SUM(BH41:BH45)+BH91</f>
        <v>26217877.9690784</v>
      </c>
      <c r="BI46" s="35" t="n">
        <f aca="false">SUM(BI41:BI45)+BI91</f>
        <v>26293847.1097034</v>
      </c>
      <c r="BJ46" s="35" t="n">
        <f aca="false">SUM(BJ41:BJ45)+BJ91</f>
        <v>26369816.2503284</v>
      </c>
    </row>
    <row r="47" customFormat="false" ht="15" hidden="false" customHeight="true" outlineLevel="0" collapsed="false">
      <c r="A47" s="16" t="s">
        <v>202</v>
      </c>
      <c r="B47" s="7" t="s">
        <v>146</v>
      </c>
      <c r="C47" s="35" t="n">
        <f aca="false">C23-C46</f>
        <v>-1013154.886</v>
      </c>
      <c r="D47" s="35" t="n">
        <f aca="false">D23-D46</f>
        <v>-694837.48</v>
      </c>
      <c r="E47" s="35" t="n">
        <f aca="false">E23-E46</f>
        <v>-769757.386</v>
      </c>
      <c r="F47" s="35" t="n">
        <f aca="false">F23-F46</f>
        <v>-607932.574</v>
      </c>
      <c r="G47" s="35" t="n">
        <f aca="false">G23-G46</f>
        <v>-445162.48</v>
      </c>
      <c r="H47" s="35" t="n">
        <f aca="false">H23-H46</f>
        <v>-282962.386</v>
      </c>
      <c r="I47" s="35" t="n">
        <f aca="false">I23-I46</f>
        <v>-121137.574</v>
      </c>
      <c r="J47" s="35" t="n">
        <f aca="false">J23-J46</f>
        <v>-114860.074</v>
      </c>
      <c r="K47" s="35" t="n">
        <f aca="false">K23-K46</f>
        <v>285030.019999999</v>
      </c>
      <c r="L47" s="35" t="n">
        <f aca="false">L23-L46</f>
        <v>447230.114</v>
      </c>
      <c r="M47" s="35" t="n">
        <f aca="false">M23-M46</f>
        <v>609054.926000001</v>
      </c>
      <c r="N47" s="35" t="n">
        <f aca="false">N23-N46</f>
        <v>771825.019999999</v>
      </c>
      <c r="O47" s="35" t="n">
        <f aca="false">O23-O46</f>
        <v>613498.0315</v>
      </c>
      <c r="P47" s="35" t="n">
        <f aca="false">P23-P46</f>
        <v>869065.4065</v>
      </c>
      <c r="Q47" s="35" t="n">
        <f aca="false">Q23-Q46</f>
        <v>1124632.7815</v>
      </c>
      <c r="R47" s="35" t="n">
        <f aca="false">R23-R46</f>
        <v>1380200.1565</v>
      </c>
      <c r="S47" s="35" t="n">
        <f aca="false">S23-S46</f>
        <v>1635767.5315</v>
      </c>
      <c r="T47" s="35" t="n">
        <f aca="false">T23-T46</f>
        <v>1891334.9065</v>
      </c>
      <c r="U47" s="35" t="n">
        <f aca="false">U23-U46</f>
        <v>2146902.2815</v>
      </c>
      <c r="V47" s="35" t="n">
        <f aca="false">V23-V46</f>
        <v>2402469.6565</v>
      </c>
      <c r="W47" s="35" t="n">
        <f aca="false">W23-W46</f>
        <v>2658037.0315</v>
      </c>
      <c r="X47" s="35" t="n">
        <f aca="false">X23-X46</f>
        <v>2913604.4065</v>
      </c>
      <c r="Y47" s="35" t="n">
        <f aca="false">Y23-Y46</f>
        <v>3169171.7815</v>
      </c>
      <c r="Z47" s="35" t="n">
        <f aca="false">Z23-Z46</f>
        <v>3424739.1565</v>
      </c>
      <c r="AA47" s="35" t="n">
        <f aca="false">AA23-AA46</f>
        <v>2954174.85035</v>
      </c>
      <c r="AB47" s="35" t="n">
        <f aca="false">AB23-AB46</f>
        <v>3401417.7566</v>
      </c>
      <c r="AC47" s="35" t="n">
        <f aca="false">AC23-AC46</f>
        <v>3848660.66285</v>
      </c>
      <c r="AD47" s="35" t="n">
        <f aca="false">AD23-AD46</f>
        <v>4295903.5691</v>
      </c>
      <c r="AE47" s="35" t="n">
        <f aca="false">AE23-AE46</f>
        <v>4743146.47535</v>
      </c>
      <c r="AF47" s="35" t="n">
        <f aca="false">AF23-AF46</f>
        <v>5190389.3816</v>
      </c>
      <c r="AG47" s="35" t="n">
        <f aca="false">AG23-AG46</f>
        <v>5637632.28785</v>
      </c>
      <c r="AH47" s="35" t="n">
        <f aca="false">AH23-AH46</f>
        <v>6084875.1941</v>
      </c>
      <c r="AI47" s="35" t="n">
        <f aca="false">AI23-AI46</f>
        <v>6532118.10035</v>
      </c>
      <c r="AJ47" s="35" t="n">
        <f aca="false">AJ23-AJ46</f>
        <v>6979361.0066</v>
      </c>
      <c r="AK47" s="35" t="n">
        <f aca="false">AK23-AK46</f>
        <v>7426603.91285</v>
      </c>
      <c r="AL47" s="35" t="n">
        <f aca="false">AL23-AL46</f>
        <v>7873846.8191</v>
      </c>
      <c r="AM47" s="35" t="n">
        <f aca="false">AM23-AM46</f>
        <v>-6808632.01751138</v>
      </c>
      <c r="AN47" s="35" t="n">
        <f aca="false">AN23-AN46</f>
        <v>-6339026.96594888</v>
      </c>
      <c r="AO47" s="35" t="n">
        <f aca="false">AO23-AO46</f>
        <v>-5869421.91438638</v>
      </c>
      <c r="AP47" s="35" t="n">
        <f aca="false">AP23-AP46</f>
        <v>-5399816.86282388</v>
      </c>
      <c r="AQ47" s="35" t="n">
        <f aca="false">AQ23-AQ46</f>
        <v>-4930211.81126138</v>
      </c>
      <c r="AR47" s="35" t="n">
        <f aca="false">AR23-AR46</f>
        <v>-4460606.75969888</v>
      </c>
      <c r="AS47" s="35" t="n">
        <f aca="false">AS23-AS46</f>
        <v>-3991001.70813638</v>
      </c>
      <c r="AT47" s="35" t="n">
        <f aca="false">AT23-AT46</f>
        <v>-3521396.65657388</v>
      </c>
      <c r="AU47" s="35" t="n">
        <f aca="false">AU23-AU46</f>
        <v>-3051791.60501138</v>
      </c>
      <c r="AV47" s="35" t="n">
        <f aca="false">AV23-AV46</f>
        <v>-2582186.55344888</v>
      </c>
      <c r="AW47" s="35" t="n">
        <f aca="false">AW23-AW46</f>
        <v>-2112581.50188638</v>
      </c>
      <c r="AX47" s="35" t="n">
        <f aca="false">AX23-AX46</f>
        <v>-1642976.45032388</v>
      </c>
      <c r="AY47" s="35" t="n">
        <f aca="false">AY23-AY46</f>
        <v>-1209539.96869945</v>
      </c>
      <c r="AZ47" s="35" t="n">
        <f aca="false">AZ23-AZ46</f>
        <v>-716454.66455882</v>
      </c>
      <c r="BA47" s="35" t="n">
        <f aca="false">BA23-BA46</f>
        <v>-223369.360418197</v>
      </c>
      <c r="BB47" s="35" t="n">
        <f aca="false">BB23-BB46</f>
        <v>-6488650.95970343</v>
      </c>
      <c r="BC47" s="35" t="n">
        <f aca="false">BC23-BC46</f>
        <v>-2956800.0305628</v>
      </c>
      <c r="BD47" s="35" t="n">
        <f aca="false">BD23-BD46</f>
        <v>-2463714.72642217</v>
      </c>
      <c r="BE47" s="35" t="n">
        <f aca="false">BE23-BE46</f>
        <v>-1970629.42228155</v>
      </c>
      <c r="BF47" s="35" t="n">
        <f aca="false">BF23-BF46</f>
        <v>-1477544.11814092</v>
      </c>
      <c r="BG47" s="35" t="n">
        <f aca="false">BG23-BG46</f>
        <v>-984458.814000297</v>
      </c>
      <c r="BH47" s="35" t="n">
        <f aca="false">BH23-BH46</f>
        <v>-491373.509859674</v>
      </c>
      <c r="BI47" s="35" t="n">
        <f aca="false">BI23-BI46</f>
        <v>1711.79428095371</v>
      </c>
      <c r="BJ47" s="35" t="n">
        <f aca="false">BJ23-BJ46</f>
        <v>494797.098421577</v>
      </c>
    </row>
    <row r="48" customFormat="false" ht="15" hidden="false" customHeight="true" outlineLevel="0" collapsed="false">
      <c r="A48" s="16" t="s">
        <v>268</v>
      </c>
      <c r="B48" s="7" t="s">
        <v>146</v>
      </c>
      <c r="C48" s="35" t="n">
        <f aca="false">-(Supuestos!$C$71+Supuestos!$C$72+Supuestos!$C$73)+C47</f>
        <v>-2513154.886</v>
      </c>
      <c r="D48" s="35" t="n">
        <f aca="false">C48+D47</f>
        <v>-3207992.366</v>
      </c>
      <c r="E48" s="35" t="n">
        <f aca="false">D48+E47</f>
        <v>-3977749.752</v>
      </c>
      <c r="F48" s="35" t="n">
        <f aca="false">E48+F47</f>
        <v>-4585682.326</v>
      </c>
      <c r="G48" s="35" t="n">
        <f aca="false">F48+G47</f>
        <v>-5030844.806</v>
      </c>
      <c r="H48" s="35" t="n">
        <f aca="false">G48+H47</f>
        <v>-5313807.192</v>
      </c>
      <c r="I48" s="35" t="n">
        <f aca="false">H48+I47</f>
        <v>-5434944.766</v>
      </c>
      <c r="J48" s="35" t="n">
        <f aca="false">I48+J47</f>
        <v>-5549804.84</v>
      </c>
      <c r="K48" s="35" t="n">
        <f aca="false">J48+K47</f>
        <v>-5264774.82</v>
      </c>
      <c r="L48" s="35" t="n">
        <f aca="false">K48+L47</f>
        <v>-4817544.706</v>
      </c>
      <c r="M48" s="35" t="n">
        <f aca="false">L48+M47</f>
        <v>-4208489.78</v>
      </c>
      <c r="N48" s="35" t="n">
        <f aca="false">M48+N47</f>
        <v>-3436664.76</v>
      </c>
      <c r="O48" s="35" t="n">
        <f aca="false">N48+O47</f>
        <v>-2823166.7285</v>
      </c>
      <c r="P48" s="35" t="n">
        <f aca="false">O48+P47</f>
        <v>-1954101.322</v>
      </c>
      <c r="Q48" s="35" t="n">
        <f aca="false">P48+Q47</f>
        <v>-829468.5405</v>
      </c>
      <c r="R48" s="35" t="n">
        <f aca="false">Q48+R47</f>
        <v>550731.616</v>
      </c>
      <c r="S48" s="35" t="n">
        <f aca="false">R48+S47</f>
        <v>2186499.1475</v>
      </c>
      <c r="T48" s="35" t="n">
        <f aca="false">S48+T47</f>
        <v>4077834.054</v>
      </c>
      <c r="U48" s="35" t="n">
        <f aca="false">T48+U47</f>
        <v>6224736.3355</v>
      </c>
      <c r="V48" s="35" t="n">
        <f aca="false">U48+V47</f>
        <v>8627205.992</v>
      </c>
      <c r="W48" s="35" t="n">
        <f aca="false">V48+W47</f>
        <v>11285243.0235</v>
      </c>
      <c r="X48" s="35" t="n">
        <f aca="false">W48+X47</f>
        <v>14198847.43</v>
      </c>
      <c r="Y48" s="35" t="n">
        <f aca="false">X48+Y47</f>
        <v>17368019.2115</v>
      </c>
      <c r="Z48" s="35" t="n">
        <f aca="false">Y48+Z47</f>
        <v>20792758.368</v>
      </c>
      <c r="AA48" s="35" t="n">
        <f aca="false">Z48+AA47</f>
        <v>23746933.21835</v>
      </c>
      <c r="AB48" s="35" t="n">
        <f aca="false">AA48+AB47</f>
        <v>27148350.97495</v>
      </c>
      <c r="AC48" s="35" t="n">
        <f aca="false">AB48+AC47</f>
        <v>30997011.6378</v>
      </c>
      <c r="AD48" s="35" t="n">
        <f aca="false">AC48+AD47</f>
        <v>35292915.2069</v>
      </c>
      <c r="AE48" s="35" t="n">
        <f aca="false">AD48+AE47</f>
        <v>40036061.68225</v>
      </c>
      <c r="AF48" s="35" t="n">
        <f aca="false">AE48+AF47</f>
        <v>45226451.06385</v>
      </c>
      <c r="AG48" s="35" t="n">
        <f aca="false">AF48+AG47</f>
        <v>50864083.3517</v>
      </c>
      <c r="AH48" s="35" t="n">
        <f aca="false">AG48+AH47</f>
        <v>56948958.5458</v>
      </c>
      <c r="AI48" s="35" t="n">
        <f aca="false">AH48+AI47</f>
        <v>63481076.64615</v>
      </c>
      <c r="AJ48" s="35" t="n">
        <f aca="false">AI48+AJ47</f>
        <v>70460437.65275</v>
      </c>
      <c r="AK48" s="35" t="n">
        <f aca="false">AJ48+AK47</f>
        <v>77887041.5656</v>
      </c>
      <c r="AL48" s="35" t="n">
        <f aca="false">AK48+AL47</f>
        <v>85760888.3847</v>
      </c>
      <c r="AM48" s="35" t="n">
        <f aca="false">AL48+AM47</f>
        <v>78952256.3671886</v>
      </c>
      <c r="AN48" s="35" t="n">
        <f aca="false">AM48+AN47</f>
        <v>72613229.4012397</v>
      </c>
      <c r="AO48" s="35" t="n">
        <f aca="false">AN48+AO47</f>
        <v>66743807.4868534</v>
      </c>
      <c r="AP48" s="35" t="n">
        <f aca="false">AO48+AP47</f>
        <v>61343990.6240295</v>
      </c>
      <c r="AQ48" s="35" t="n">
        <f aca="false">AP48+AQ47</f>
        <v>56413778.8127681</v>
      </c>
      <c r="AR48" s="35" t="n">
        <f aca="false">AQ48+AR47</f>
        <v>51953172.0530692</v>
      </c>
      <c r="AS48" s="35" t="n">
        <f aca="false">AR48+AS47</f>
        <v>47962170.3449329</v>
      </c>
      <c r="AT48" s="35" t="n">
        <f aca="false">AS48+AT47</f>
        <v>44440773.688359</v>
      </c>
      <c r="AU48" s="35" t="n">
        <f aca="false">AT48+AU47</f>
        <v>41388982.0833476</v>
      </c>
      <c r="AV48" s="35" t="n">
        <f aca="false">AU48+AV47</f>
        <v>38806795.5298987</v>
      </c>
      <c r="AW48" s="35" t="n">
        <f aca="false">AV48+AW47</f>
        <v>36694214.0280124</v>
      </c>
      <c r="AX48" s="35" t="n">
        <f aca="false">AW48+AX47</f>
        <v>35051237.5776885</v>
      </c>
      <c r="AY48" s="35" t="n">
        <f aca="false">AX48+AY47</f>
        <v>33841697.608989</v>
      </c>
      <c r="AZ48" s="35" t="n">
        <f aca="false">AY48+AZ47</f>
        <v>33125242.9444302</v>
      </c>
      <c r="BA48" s="35" t="n">
        <f aca="false">AZ48+BA47</f>
        <v>32901873.584012</v>
      </c>
      <c r="BB48" s="35" t="n">
        <f aca="false">BA48+BB47</f>
        <v>26413222.6243086</v>
      </c>
      <c r="BC48" s="35" t="n">
        <f aca="false">BB48+BC47</f>
        <v>23456422.5937458</v>
      </c>
      <c r="BD48" s="35" t="n">
        <f aca="false">BC48+BD47</f>
        <v>20992707.8673236</v>
      </c>
      <c r="BE48" s="35" t="n">
        <f aca="false">BD48+BE47</f>
        <v>19022078.4450421</v>
      </c>
      <c r="BF48" s="35" t="n">
        <f aca="false">BE48+BF47</f>
        <v>17544534.3269011</v>
      </c>
      <c r="BG48" s="35" t="n">
        <f aca="false">BF48+BG47</f>
        <v>16560075.5129008</v>
      </c>
      <c r="BH48" s="35" t="n">
        <f aca="false">BG48+BH47</f>
        <v>16068702.0030412</v>
      </c>
      <c r="BI48" s="35" t="n">
        <f aca="false">BH48+BI47</f>
        <v>16070413.7973221</v>
      </c>
      <c r="BJ48" s="35" t="n">
        <f aca="false">BI48+BJ47</f>
        <v>16565210.8957437</v>
      </c>
    </row>
    <row r="49" customFormat="false" ht="15" hidden="false" customHeight="true" outlineLevel="0" collapsed="false">
      <c r="A49" s="10" t="s">
        <v>269</v>
      </c>
      <c r="B49" s="7" t="s">
        <v>146</v>
      </c>
      <c r="C49" s="43" t="n">
        <f aca="false">(Supuestos!$C$51-C35)*C36*C31/Supuestos!$C$51/160</f>
        <v>6665467.7655</v>
      </c>
      <c r="D49" s="43" t="n">
        <f aca="false">(Supuestos!$C$51-D35)*D36*D31/Supuestos!$C$51/160</f>
        <v>6665467.7655</v>
      </c>
      <c r="E49" s="43" t="n">
        <f aca="false">(Supuestos!$C$51-E35)*E36*E31/Supuestos!$C$51/160</f>
        <v>6665467.7655</v>
      </c>
      <c r="F49" s="43" t="n">
        <f aca="false">(Supuestos!$C$51-F35)*F36*F31/Supuestos!$C$51/160</f>
        <v>6665467.7655</v>
      </c>
      <c r="G49" s="43" t="n">
        <f aca="false">(Supuestos!$C$51-G35)*G36*G31/Supuestos!$C$51/160</f>
        <v>6665467.7655</v>
      </c>
      <c r="H49" s="43" t="n">
        <f aca="false">(Supuestos!$C$51-H35)*H36*H31/Supuestos!$C$51/160</f>
        <v>6665467.7655</v>
      </c>
      <c r="I49" s="43" t="n">
        <f aca="false">(Supuestos!$C$51-I35)*I36*I31/Supuestos!$C$51/160</f>
        <v>6665467.7655</v>
      </c>
      <c r="J49" s="43" t="n">
        <f aca="false">(Supuestos!$C$51-J35)*J36*J31/Supuestos!$C$51/160</f>
        <v>6665467.7655</v>
      </c>
      <c r="K49" s="43" t="n">
        <f aca="false">(Supuestos!$C$51-K35)*K36*K31/Supuestos!$C$51/160</f>
        <v>6665467.7655</v>
      </c>
      <c r="L49" s="43" t="n">
        <f aca="false">(Supuestos!$C$51-L35)*L36*L31/Supuestos!$C$51/160</f>
        <v>6665467.7655</v>
      </c>
      <c r="M49" s="43" t="n">
        <f aca="false">(Supuestos!$C$51-M35)*M36*M31/Supuestos!$C$51/160</f>
        <v>6665467.7655</v>
      </c>
      <c r="N49" s="43" t="n">
        <f aca="false">(Supuestos!$C$51-N35)*N36*N31/Supuestos!$C$51/160</f>
        <v>6665467.7655</v>
      </c>
      <c r="O49" s="43" t="n">
        <f aca="false">(Supuestos!$C$51-O35)*O36*O31/Supuestos!$C$51/160</f>
        <v>10498111.7306625</v>
      </c>
      <c r="P49" s="43" t="n">
        <f aca="false">(Supuestos!$C$51-P35)*P36*P31/Supuestos!$C$51/160</f>
        <v>10498111.7306625</v>
      </c>
      <c r="Q49" s="43" t="n">
        <f aca="false">(Supuestos!$C$51-Q35)*Q36*Q31/Supuestos!$C$51/160</f>
        <v>10498111.7306625</v>
      </c>
      <c r="R49" s="43" t="n">
        <f aca="false">(Supuestos!$C$51-R35)*R36*R31/Supuestos!$C$51/160</f>
        <v>10498111.7306625</v>
      </c>
      <c r="S49" s="43" t="n">
        <f aca="false">(Supuestos!$C$51-S35)*S36*S31/Supuestos!$C$51/160</f>
        <v>10498111.7306625</v>
      </c>
      <c r="T49" s="43" t="n">
        <f aca="false">(Supuestos!$C$51-T35)*T36*T31/Supuestos!$C$51/160</f>
        <v>10498111.7306625</v>
      </c>
      <c r="U49" s="43" t="n">
        <f aca="false">(Supuestos!$C$51-U35)*U36*U31/Supuestos!$C$51/160</f>
        <v>10498111.7306625</v>
      </c>
      <c r="V49" s="43" t="n">
        <f aca="false">(Supuestos!$C$51-V35)*V36*V31/Supuestos!$C$51/160</f>
        <v>10498111.7306625</v>
      </c>
      <c r="W49" s="43" t="n">
        <f aca="false">(Supuestos!$C$51-W35)*W36*W31/Supuestos!$C$51/160</f>
        <v>10498111.7306625</v>
      </c>
      <c r="X49" s="43" t="n">
        <f aca="false">(Supuestos!$C$51-X35)*X36*X31/Supuestos!$C$51/160</f>
        <v>10498111.7306625</v>
      </c>
      <c r="Y49" s="43" t="n">
        <f aca="false">(Supuestos!$C$51-Y35)*Y36*Y31/Supuestos!$C$51/160</f>
        <v>10498111.7306625</v>
      </c>
      <c r="Z49" s="43" t="n">
        <f aca="false">(Supuestos!$C$51-Z35)*Z36*Z31/Supuestos!$C$51/160</f>
        <v>10498111.7306625</v>
      </c>
      <c r="AA49" s="43" t="n">
        <f aca="false">(Supuestos!$C$51-AA35)*AA36*AA31/Supuestos!$C$51/160</f>
        <v>14697356.4229275</v>
      </c>
      <c r="AB49" s="43" t="n">
        <f aca="false">(Supuestos!$C$51-AB35)*AB36*AB31/Supuestos!$C$51/160</f>
        <v>14697356.4229275</v>
      </c>
      <c r="AC49" s="43" t="n">
        <f aca="false">(Supuestos!$C$51-AC35)*AC36*AC31/Supuestos!$C$51/160</f>
        <v>14697356.4229275</v>
      </c>
      <c r="AD49" s="43" t="n">
        <f aca="false">(Supuestos!$C$51-AD35)*AD36*AD31/Supuestos!$C$51/160</f>
        <v>14697356.4229275</v>
      </c>
      <c r="AE49" s="43" t="n">
        <f aca="false">(Supuestos!$C$51-AE35)*AE36*AE31/Supuestos!$C$51/160</f>
        <v>14697356.4229275</v>
      </c>
      <c r="AF49" s="43" t="n">
        <f aca="false">(Supuestos!$C$51-AF35)*AF36*AF31/Supuestos!$C$51/160</f>
        <v>14697356.4229275</v>
      </c>
      <c r="AG49" s="43" t="n">
        <f aca="false">(Supuestos!$C$51-AG35)*AG36*AG31/Supuestos!$C$51/160</f>
        <v>14697356.4229275</v>
      </c>
      <c r="AH49" s="43" t="n">
        <f aca="false">(Supuestos!$C$51-AH35)*AH36*AH31/Supuestos!$C$51/160</f>
        <v>14697356.4229275</v>
      </c>
      <c r="AI49" s="43" t="n">
        <f aca="false">(Supuestos!$C$51-AI35)*AI36*AI31/Supuestos!$C$51/160</f>
        <v>14697356.4229275</v>
      </c>
      <c r="AJ49" s="43" t="n">
        <f aca="false">(Supuestos!$C$51-AJ35)*AJ36*AJ31/Supuestos!$C$51/160</f>
        <v>14697356.4229275</v>
      </c>
      <c r="AK49" s="43" t="n">
        <f aca="false">(Supuestos!$C$51-AK35)*AK36*AK31/Supuestos!$C$51/160</f>
        <v>14697356.4229275</v>
      </c>
      <c r="AL49" s="43" t="n">
        <f aca="false">(Supuestos!$C$51-AL35)*AL36*AL31/Supuestos!$C$51/160</f>
        <v>14697356.4229275</v>
      </c>
      <c r="AM49" s="43" t="n">
        <f aca="false">(Supuestos!$C$51-AM35)*AM36*AM31/Supuestos!$C$51/160</f>
        <v>0</v>
      </c>
      <c r="AN49" s="43" t="n">
        <f aca="false">(Supuestos!$C$51-AN35)*AN36*AN31/Supuestos!$C$51/160</f>
        <v>0</v>
      </c>
      <c r="AO49" s="43" t="n">
        <f aca="false">(Supuestos!$C$51-AO35)*AO36*AO31/Supuestos!$C$51/160</f>
        <v>0</v>
      </c>
      <c r="AP49" s="43" t="n">
        <f aca="false">(Supuestos!$C$51-AP35)*AP36*AP31/Supuestos!$C$51/160</f>
        <v>0</v>
      </c>
      <c r="AQ49" s="43" t="n">
        <f aca="false">(Supuestos!$C$51-AQ35)*AQ36*AQ31/Supuestos!$C$51/160</f>
        <v>0</v>
      </c>
      <c r="AR49" s="43" t="n">
        <f aca="false">(Supuestos!$C$51-AR35)*AR36*AR31/Supuestos!$C$51/160</f>
        <v>0</v>
      </c>
      <c r="AS49" s="43" t="n">
        <f aca="false">(Supuestos!$C$51-AS35)*AS36*AS31/Supuestos!$C$51/160</f>
        <v>0</v>
      </c>
      <c r="AT49" s="43" t="n">
        <f aca="false">(Supuestos!$C$51-AT35)*AT36*AT31/Supuestos!$C$51/160</f>
        <v>0</v>
      </c>
      <c r="AU49" s="43" t="n">
        <f aca="false">(Supuestos!$C$51-AU35)*AU36*AU31/Supuestos!$C$51/160</f>
        <v>0</v>
      </c>
      <c r="AV49" s="43" t="n">
        <f aca="false">(Supuestos!$C$51-AV35)*AV36*AV31/Supuestos!$C$51/160</f>
        <v>0</v>
      </c>
      <c r="AW49" s="43" t="n">
        <f aca="false">(Supuestos!$C$51-AW35)*AW36*AW31/Supuestos!$C$51/160</f>
        <v>0</v>
      </c>
      <c r="AX49" s="43" t="n">
        <f aca="false">(Supuestos!$C$51-AX35)*AX36*AX31/Supuestos!$C$51/160</f>
        <v>0</v>
      </c>
      <c r="AY49" s="43" t="n">
        <f aca="false">(Supuestos!$C$51-AY35)*AY36*AY31/Supuestos!$C$51/160</f>
        <v>0</v>
      </c>
      <c r="AZ49" s="43" t="n">
        <f aca="false">(Supuestos!$C$51-AZ35)*AZ36*AZ31/Supuestos!$C$51/160</f>
        <v>0</v>
      </c>
      <c r="BA49" s="43" t="n">
        <f aca="false">(Supuestos!$C$51-BA35)*BA36*BA31/Supuestos!$C$51/160</f>
        <v>0</v>
      </c>
      <c r="BB49" s="43" t="n">
        <f aca="false">(Supuestos!$C$51-BB35)*BB36*BB31/Supuestos!$C$51/160</f>
        <v>0</v>
      </c>
      <c r="BC49" s="43" t="n">
        <f aca="false">(Supuestos!$C$51-BC35)*BC36*BC31/Supuestos!$C$51/160</f>
        <v>0</v>
      </c>
      <c r="BD49" s="43" t="n">
        <f aca="false">(Supuestos!$C$51-BD35)*BD36*BD31/Supuestos!$C$51/160</f>
        <v>0</v>
      </c>
      <c r="BE49" s="43" t="n">
        <f aca="false">(Supuestos!$C$51-BE35)*BE36*BE31/Supuestos!$C$51/160</f>
        <v>0</v>
      </c>
      <c r="BF49" s="43" t="n">
        <f aca="false">(Supuestos!$C$51-BF35)*BF36*BF31/Supuestos!$C$51/160</f>
        <v>0</v>
      </c>
      <c r="BG49" s="43" t="n">
        <f aca="false">(Supuestos!$C$51-BG35)*BG36*BG31/Supuestos!$C$51/160</f>
        <v>0</v>
      </c>
      <c r="BH49" s="43" t="n">
        <f aca="false">(Supuestos!$C$51-BH35)*BH36*BH31/Supuestos!$C$51/160</f>
        <v>0</v>
      </c>
      <c r="BI49" s="43" t="n">
        <f aca="false">(Supuestos!$C$51-BI35)*BI36*BI31/Supuestos!$C$51/160</f>
        <v>0</v>
      </c>
      <c r="BJ49" s="43" t="n">
        <f aca="false">(Supuestos!$C$51-BJ35)*BJ36*BJ31/Supuestos!$C$51/160</f>
        <v>0</v>
      </c>
    </row>
    <row r="51" customFormat="false" ht="15" hidden="false" customHeight="true" outlineLevel="0" collapsed="false">
      <c r="A51" s="8" t="s">
        <v>270</v>
      </c>
      <c r="B51" s="9"/>
      <c r="C51" s="9"/>
      <c r="D51" s="9"/>
      <c r="E51" s="9"/>
      <c r="F51" s="9"/>
      <c r="G51" s="9"/>
      <c r="H51" s="9"/>
    </row>
    <row r="52" customFormat="false" ht="15" hidden="false" customHeight="true" outlineLevel="0" collapsed="false">
      <c r="A52" s="28" t="s">
        <v>181</v>
      </c>
      <c r="B52" s="28" t="s">
        <v>182</v>
      </c>
      <c r="C52" s="28" t="s">
        <v>183</v>
      </c>
      <c r="D52" s="28" t="s">
        <v>184</v>
      </c>
      <c r="E52" s="28" t="s">
        <v>185</v>
      </c>
      <c r="F52" s="28" t="s">
        <v>186</v>
      </c>
      <c r="G52" s="28" t="s">
        <v>187</v>
      </c>
      <c r="H52" s="40"/>
    </row>
    <row r="53" customFormat="false" ht="15" hidden="false" customHeight="true" outlineLevel="0" collapsed="false">
      <c r="A53" s="10" t="s">
        <v>271</v>
      </c>
      <c r="C53" s="44" t="n">
        <f aca="false">INDEX($C$14:$BJ$14,1,12)</f>
        <v>60</v>
      </c>
      <c r="D53" s="44" t="n">
        <f aca="false">INDEX($C$14:$BJ$14,1,24)</f>
        <v>150</v>
      </c>
      <c r="E53" s="44" t="n">
        <f aca="false">INDEX($C$14:$BJ$14,1,36)</f>
        <v>300</v>
      </c>
      <c r="F53" s="44" t="n">
        <f aca="false">INDEX($C$14:$BJ$14,1,48)</f>
        <v>450</v>
      </c>
      <c r="G53" s="44" t="n">
        <f aca="false">INDEX($C$14:$BJ$14,1,60)</f>
        <v>600</v>
      </c>
    </row>
    <row r="54" customFormat="false" ht="15" hidden="false" customHeight="true" outlineLevel="0" collapsed="false">
      <c r="A54" s="10" t="s">
        <v>272</v>
      </c>
      <c r="C54" s="44" t="n">
        <f aca="false">SUMIF($C$6:$BJ$6,1,$C$13:$BJ$13)</f>
        <v>75.75</v>
      </c>
      <c r="D54" s="44" t="n">
        <f aca="false">SUMIF($C$6:$BJ$6,2,$C$13:$BJ$13)</f>
        <v>150.75</v>
      </c>
      <c r="E54" s="44" t="n">
        <f aca="false">SUMIF($C$6:$BJ$6,3,$C$13:$BJ$13)</f>
        <v>281.25</v>
      </c>
      <c r="F54" s="44" t="n">
        <f aca="false">SUMIF($C$6:$BJ$6,4,$C$13:$BJ$13)</f>
        <v>371.25</v>
      </c>
      <c r="G54" s="44" t="n">
        <f aca="false">SUMIF($C$6:$BJ$6,5,$C$13:$BJ$13)</f>
        <v>461.25</v>
      </c>
    </row>
    <row r="55" customFormat="false" ht="15" hidden="false" customHeight="true" outlineLevel="0" collapsed="false">
      <c r="A55" s="10" t="s">
        <v>273</v>
      </c>
      <c r="C55" s="44" t="n">
        <f aca="false">SUMIF($C$6:$BJ$6,1,$C$12:$BJ$12)</f>
        <v>15.75</v>
      </c>
      <c r="D55" s="44" t="n">
        <f aca="false">SUMIF($C$6:$BJ$6,2,$C$12:$BJ$12)</f>
        <v>60.75</v>
      </c>
      <c r="E55" s="44" t="n">
        <f aca="false">SUMIF($C$6:$BJ$6,3,$C$12:$BJ$12)</f>
        <v>131.25</v>
      </c>
      <c r="F55" s="44" t="n">
        <f aca="false">SUMIF($C$6:$BJ$6,4,$C$12:$BJ$12)</f>
        <v>221.25</v>
      </c>
      <c r="G55" s="44" t="n">
        <f aca="false">SUMIF($C$6:$BJ$6,5,$C$12:$BJ$12)</f>
        <v>311.25</v>
      </c>
    </row>
    <row r="56" customFormat="false" ht="15" hidden="false" customHeight="true" outlineLevel="0" collapsed="false">
      <c r="A56" s="10" t="s">
        <v>191</v>
      </c>
      <c r="C56" s="43" t="n">
        <f aca="false">INDEX($C$17:$BJ$17,1,12)</f>
        <v>39900</v>
      </c>
      <c r="D56" s="43" t="n">
        <f aca="false">INDEX($C$17:$BJ$17,1,24)</f>
        <v>41895</v>
      </c>
      <c r="E56" s="43" t="n">
        <f aca="false">INDEX($C$17:$BJ$17,1,36)</f>
        <v>43989.75</v>
      </c>
      <c r="F56" s="43" t="n">
        <f aca="false">INDEX($C$17:$BJ$17,1,48)</f>
        <v>46189.2375</v>
      </c>
      <c r="G56" s="43" t="n">
        <f aca="false">INDEX($C$17:$BJ$17,1,60)</f>
        <v>48498.699375</v>
      </c>
    </row>
    <row r="57" customFormat="false" ht="15" hidden="false" customHeight="true" outlineLevel="0" collapsed="false">
      <c r="A57" s="16" t="s">
        <v>57</v>
      </c>
      <c r="C57" s="42" t="n">
        <f aca="false">SUMIF($C$6:$BJ$6,1,$C$18:$BJ$18)/1000000</f>
        <v>14.9625</v>
      </c>
      <c r="D57" s="42" t="n">
        <f aca="false">SUMIF($C$6:$BJ$6,2,$C$18:$BJ$18)/1000000</f>
        <v>54.672975</v>
      </c>
      <c r="E57" s="42" t="n">
        <f aca="false">SUMIF($C$6:$BJ$6,3,$C$18:$BJ$18)/1000000</f>
        <v>122.07155625</v>
      </c>
      <c r="F57" s="42" t="n">
        <f aca="false">SUMIF($C$6:$BJ$6,4,$C$18:$BJ$18)/1000000</f>
        <v>211.3157615625</v>
      </c>
      <c r="G57" s="42" t="n">
        <f aca="false">SUMIF($C$6:$BJ$6,5,$C$18:$BJ$18)/1000000</f>
        <v>309.179208515625</v>
      </c>
    </row>
    <row r="58" customFormat="false" ht="15" hidden="false" customHeight="true" outlineLevel="0" collapsed="false">
      <c r="A58" s="10" t="s">
        <v>193</v>
      </c>
      <c r="C58" s="41" t="n">
        <f aca="false">SUMIF($C$6:$BJ$6,1,$C$22:$BJ$22)/1000000</f>
        <v>3.557625</v>
      </c>
      <c r="D58" s="41" t="n">
        <f aca="false">SUMIF($C$6:$BJ$6,2,$C$22:$BJ$22)/1000000</f>
        <v>5.99300175</v>
      </c>
      <c r="E58" s="41" t="n">
        <f aca="false">SUMIF($C$6:$BJ$6,3,$C$22:$BJ$22)/1000000</f>
        <v>10.1264435625</v>
      </c>
      <c r="F58" s="41" t="n">
        <f aca="false">SUMIF($C$6:$BJ$6,4,$C$22:$BJ$22)/1000000</f>
        <v>18.359640815625</v>
      </c>
      <c r="G58" s="41" t="n">
        <f aca="false">SUMIF($C$6:$BJ$6,5,$C$22:$BJ$22)/1000000</f>
        <v>24.3614416851563</v>
      </c>
    </row>
    <row r="59" customFormat="false" ht="15" hidden="false" customHeight="true" outlineLevel="0" collapsed="false">
      <c r="A59" s="16" t="s">
        <v>194</v>
      </c>
      <c r="C59" s="42" t="n">
        <f aca="false">C57-C58</f>
        <v>11.404875</v>
      </c>
      <c r="D59" s="42" t="n">
        <f aca="false">D57-D58</f>
        <v>48.67997325</v>
      </c>
      <c r="E59" s="42" t="n">
        <f aca="false">E57-E58</f>
        <v>111.9451126875</v>
      </c>
      <c r="F59" s="42" t="n">
        <f aca="false">F57-F58</f>
        <v>192.956120746875</v>
      </c>
      <c r="G59" s="42" t="n">
        <f aca="false">G57-G58</f>
        <v>284.817766830469</v>
      </c>
    </row>
    <row r="60" customFormat="false" ht="15" hidden="false" customHeight="true" outlineLevel="0" collapsed="false">
      <c r="A60" s="10" t="s">
        <v>195</v>
      </c>
      <c r="C60" s="47" t="n">
        <f aca="false">IF(C57=0,0,C59/C57)</f>
        <v>0.762230576441103</v>
      </c>
      <c r="D60" s="47" t="n">
        <f aca="false">IF(D57=0,0,D59/D57)</f>
        <v>0.890384568427089</v>
      </c>
      <c r="E60" s="47" t="n">
        <f aca="false">IF(E57=0,0,E59/E57)</f>
        <v>0.917045019547705</v>
      </c>
      <c r="F60" s="47" t="n">
        <f aca="false">IF(F57=0,0,F59/F57)</f>
        <v>0.913117503967186</v>
      </c>
      <c r="G60" s="47" t="n">
        <f aca="false">IF(G57=0,0,G59/G57)</f>
        <v>0.921206080440803</v>
      </c>
    </row>
    <row r="61" customFormat="false" ht="15" hidden="false" customHeight="true" outlineLevel="0" collapsed="false">
      <c r="A61" s="10" t="s">
        <v>197</v>
      </c>
      <c r="C61" s="41" t="n">
        <f aca="false">SUMIF($C$6:$BJ$6,1,$C$34:$BJ$34)/1000000</f>
        <v>0</v>
      </c>
      <c r="D61" s="41" t="n">
        <f aca="false">SUMIF($C$6:$BJ$6,2,$C$34:$BJ$34)/1000000</f>
        <v>0</v>
      </c>
      <c r="E61" s="41" t="n">
        <f aca="false">SUMIF($C$6:$BJ$6,3,$C$34:$BJ$34)/1000000</f>
        <v>0</v>
      </c>
      <c r="F61" s="41" t="n">
        <f aca="false">SUMIF($C$6:$BJ$6,4,$C$34:$BJ$34)/1000000</f>
        <v>0</v>
      </c>
      <c r="G61" s="41" t="n">
        <f aca="false">SUMIF($C$6:$BJ$6,5,$C$34:$BJ$34)/1000000</f>
        <v>33.4764115058327</v>
      </c>
    </row>
    <row r="62" customFormat="false" ht="15" hidden="false" customHeight="true" outlineLevel="0" collapsed="false">
      <c r="A62" s="10" t="s">
        <v>198</v>
      </c>
      <c r="C62" s="41" t="n">
        <f aca="false">SUMIF($C$6:$BJ$6,1,$C$37:$BJ$37)/1000000</f>
        <v>0</v>
      </c>
      <c r="D62" s="41" t="n">
        <f aca="false">SUMIF($C$6:$BJ$6,2,$C$37:$BJ$37)/1000000</f>
        <v>0</v>
      </c>
      <c r="E62" s="41" t="n">
        <f aca="false">SUMIF($C$6:$BJ$6,3,$C$37:$BJ$37)/1000000</f>
        <v>0</v>
      </c>
      <c r="F62" s="41" t="n">
        <f aca="false">SUMIF($C$6:$BJ$6,4,$C$37:$BJ$37)/1000000</f>
        <v>185.186690928887</v>
      </c>
      <c r="G62" s="41" t="n">
        <f aca="false">SUMIF($C$6:$BJ$6,5,$C$37:$BJ$37)/1000000</f>
        <v>194.446025475331</v>
      </c>
    </row>
    <row r="63" customFormat="false" ht="15" hidden="false" customHeight="true" outlineLevel="0" collapsed="false">
      <c r="A63" s="10" t="s">
        <v>199</v>
      </c>
      <c r="C63" s="41" t="n">
        <f aca="false">SUMIF($C$6:$BJ$6,1,$C$42:$BJ$42)/1000000</f>
        <v>7.575</v>
      </c>
      <c r="D63" s="41" t="n">
        <f aca="false">SUMIF($C$6:$BJ$6,2,$C$42:$BJ$42)/1000000</f>
        <v>15.82875</v>
      </c>
      <c r="E63" s="41" t="n">
        <f aca="false">SUMIF($C$6:$BJ$6,3,$C$42:$BJ$42)/1000000</f>
        <v>31.0078125</v>
      </c>
      <c r="F63" s="41" t="n">
        <f aca="false">SUMIF($C$6:$BJ$6,4,$C$42:$BJ$42)/1000000</f>
        <v>42.976828125</v>
      </c>
      <c r="G63" s="41" t="n">
        <f aca="false">SUMIF($C$6:$BJ$6,5,$C$42:$BJ$42)/1000000</f>
        <v>56.06522578125</v>
      </c>
    </row>
    <row r="64" customFormat="false" ht="15" hidden="false" customHeight="true" outlineLevel="0" collapsed="false">
      <c r="A64" s="10" t="s">
        <v>200</v>
      </c>
      <c r="C64" s="41" t="n">
        <f aca="false">(SUMIF($C$6:$BJ$6,1,$C$43:$BJ$43)+SUMIF($C$6:$BJ$6,1,$C$44:$BJ$44)+SUMIF($C$6:$BJ$6,1,$C$45:$BJ$45)+SUMIF($C$6:$BJ$6,1,$C$91:$BJ$91))/1000000</f>
        <v>5.76653976</v>
      </c>
      <c r="D64" s="41" t="n">
        <f aca="false">(SUMIF($C$6:$BJ$6,2,$C$43:$BJ$43)+SUMIF($C$6:$BJ$6,2,$C$44:$BJ$44)+SUMIF($C$6:$BJ$6,2,$C$45:$BJ$45)+SUMIF($C$6:$BJ$6,2,$C$91:$BJ$91))/1000000</f>
        <v>8.621800122</v>
      </c>
      <c r="E64" s="41" t="n">
        <f aca="false">(SUMIF($C$6:$BJ$6,3,$C$43:$BJ$43)+SUMIF($C$6:$BJ$6,3,$C$44:$BJ$44)+SUMIF($C$6:$BJ$6,3,$C$45:$BJ$45)+SUMIF($C$6:$BJ$6,3,$C$91:$BJ$91))/1000000</f>
        <v>15.9691701708</v>
      </c>
      <c r="F64" s="41" t="n">
        <f aca="false">(SUMIF($C$6:$BJ$6,4,$C$43:$BJ$43)+SUMIF($C$6:$BJ$6,4,$C$44:$BJ$44)+SUMIF($C$6:$BJ$6,4,$C$45:$BJ$45)+SUMIF($C$6:$BJ$6,4,$C$91:$BJ$91))/1000000</f>
        <v>15.5022525</v>
      </c>
      <c r="G64" s="41" t="n">
        <f aca="false">(SUMIF($C$6:$BJ$6,5,$C$43:$BJ$43)+SUMIF($C$6:$BJ$6,5,$C$44:$BJ$44)+SUMIF($C$6:$BJ$6,5,$C$45:$BJ$45)+SUMIF($C$6:$BJ$6,5,$C$91:$BJ$91))/1000000</f>
        <v>19.31613075</v>
      </c>
    </row>
    <row r="65" customFormat="false" ht="15" hidden="false" customHeight="true" outlineLevel="0" collapsed="false">
      <c r="A65" s="16" t="s">
        <v>201</v>
      </c>
      <c r="C65" s="42" t="n">
        <f aca="false">SUMIF($C$6:$BJ$6,1,$C$46:$BJ$46)/1000000</f>
        <v>13.34153976</v>
      </c>
      <c r="D65" s="42" t="n">
        <f aca="false">SUMIF($C$6:$BJ$6,2,$C$46:$BJ$46)/1000000</f>
        <v>24.450550122</v>
      </c>
      <c r="E65" s="42" t="n">
        <f aca="false">SUMIF($C$6:$BJ$6,3,$C$46:$BJ$46)/1000000</f>
        <v>46.9769826708</v>
      </c>
      <c r="F65" s="42" t="n">
        <f aca="false">SUMIF($C$6:$BJ$6,4,$C$46:$BJ$46)/1000000</f>
        <v>243.665771553887</v>
      </c>
      <c r="G65" s="42" t="n">
        <f aca="false">SUMIF($C$6:$BJ$6,5,$C$46:$BJ$46)/1000000</f>
        <v>303.303793512414</v>
      </c>
    </row>
    <row r="66" customFormat="false" ht="15" hidden="false" customHeight="true" outlineLevel="0" collapsed="false">
      <c r="A66" s="16" t="s">
        <v>202</v>
      </c>
      <c r="C66" s="42" t="n">
        <f aca="false">C59-C65</f>
        <v>-1.93666476</v>
      </c>
      <c r="D66" s="42" t="n">
        <f aca="false">D59-D65</f>
        <v>24.229423128</v>
      </c>
      <c r="E66" s="42" t="n">
        <f aca="false">E59-E65</f>
        <v>64.9681300167</v>
      </c>
      <c r="F66" s="42" t="n">
        <f aca="false">F59-F65</f>
        <v>-50.7096508070115</v>
      </c>
      <c r="G66" s="42" t="n">
        <f aca="false">G59-G65</f>
        <v>-18.4860266819447</v>
      </c>
    </row>
    <row r="67" customFormat="false" ht="15" hidden="false" customHeight="true" outlineLevel="0" collapsed="false">
      <c r="A67" s="10" t="s">
        <v>274</v>
      </c>
      <c r="C67" s="41" t="n">
        <f aca="false">0</f>
        <v>0</v>
      </c>
      <c r="D67" s="41" t="n">
        <f aca="false">MIN(0,C67+C66)</f>
        <v>-1.93666476</v>
      </c>
      <c r="E67" s="41" t="n">
        <f aca="false">MIN(0,D67+D66)</f>
        <v>0</v>
      </c>
      <c r="F67" s="41" t="n">
        <f aca="false">MIN(0,E67+E66)</f>
        <v>0</v>
      </c>
      <c r="G67" s="41" t="n">
        <f aca="false">MIN(0,F67+F66)</f>
        <v>-50.7096508070115</v>
      </c>
    </row>
    <row r="68" customFormat="false" ht="15" hidden="false" customHeight="true" outlineLevel="0" collapsed="false">
      <c r="A68" s="10" t="s">
        <v>275</v>
      </c>
      <c r="C68" s="41" t="n">
        <f aca="false">MAX(0,C66+C67)</f>
        <v>0</v>
      </c>
      <c r="D68" s="41" t="n">
        <f aca="false">MAX(0,D66+D67)</f>
        <v>22.292758368</v>
      </c>
      <c r="E68" s="41" t="n">
        <f aca="false">MAX(0,E66+E67)</f>
        <v>64.9681300167</v>
      </c>
      <c r="F68" s="41" t="n">
        <f aca="false">MAX(0,F66+F67)</f>
        <v>0</v>
      </c>
      <c r="G68" s="41" t="n">
        <f aca="false">MAX(0,G66+G67)</f>
        <v>0</v>
      </c>
    </row>
    <row r="69" customFormat="false" ht="15" hidden="false" customHeight="true" outlineLevel="0" collapsed="false">
      <c r="A69" s="10" t="s">
        <v>203</v>
      </c>
      <c r="C69" s="41" t="n">
        <f aca="false">C68*Supuestos!$C$74</f>
        <v>0</v>
      </c>
      <c r="D69" s="41" t="n">
        <f aca="false">D68*Supuestos!$C$74</f>
        <v>7.8024654288</v>
      </c>
      <c r="E69" s="41" t="n">
        <f aca="false">E68*Supuestos!$C$74</f>
        <v>22.738845505845</v>
      </c>
      <c r="F69" s="41" t="n">
        <f aca="false">F68*Supuestos!$C$74</f>
        <v>0</v>
      </c>
      <c r="G69" s="41" t="n">
        <f aca="false">G68*Supuestos!$C$74</f>
        <v>0</v>
      </c>
    </row>
    <row r="70" customFormat="false" ht="15" hidden="false" customHeight="true" outlineLevel="0" collapsed="false">
      <c r="A70" s="16" t="s">
        <v>204</v>
      </c>
      <c r="C70" s="42" t="n">
        <f aca="false">C66-C69</f>
        <v>-1.93666476</v>
      </c>
      <c r="D70" s="42" t="n">
        <f aca="false">D66-D69</f>
        <v>16.4269576992</v>
      </c>
      <c r="E70" s="42" t="n">
        <f aca="false">E66-E69</f>
        <v>42.229284510855</v>
      </c>
      <c r="F70" s="42" t="n">
        <f aca="false">F66-F69</f>
        <v>-50.7096508070115</v>
      </c>
      <c r="G70" s="42" t="n">
        <f aca="false">G66-G69</f>
        <v>-18.4860266819447</v>
      </c>
    </row>
    <row r="71" customFormat="false" ht="15" hidden="false" customHeight="true" outlineLevel="0" collapsed="false">
      <c r="A71" s="16" t="s">
        <v>205</v>
      </c>
      <c r="B71" s="42" t="n">
        <f aca="false">-(Supuestos!$C$71+Supuestos!$C$72+Supuestos!$C$73)/1000000</f>
        <v>-1.5</v>
      </c>
      <c r="C71" s="42" t="n">
        <f aca="false">C70</f>
        <v>-1.93666476</v>
      </c>
      <c r="D71" s="42" t="n">
        <f aca="false">D70</f>
        <v>16.4269576992</v>
      </c>
      <c r="E71" s="42" t="n">
        <f aca="false">E70</f>
        <v>42.229284510855</v>
      </c>
      <c r="F71" s="42" t="n">
        <f aca="false">F70</f>
        <v>-50.7096508070115</v>
      </c>
      <c r="G71" s="42" t="n">
        <f aca="false">G70</f>
        <v>-18.4860266819447</v>
      </c>
    </row>
    <row r="72" customFormat="false" ht="15" hidden="false" customHeight="true" outlineLevel="0" collapsed="false">
      <c r="A72" s="16" t="s">
        <v>206</v>
      </c>
      <c r="B72" s="42" t="n">
        <f aca="false">B71</f>
        <v>-1.5</v>
      </c>
      <c r="C72" s="42" t="n">
        <f aca="false">B72+C71</f>
        <v>-3.43666476</v>
      </c>
      <c r="D72" s="42" t="n">
        <f aca="false">C72+D71</f>
        <v>12.9902929392</v>
      </c>
      <c r="E72" s="42" t="n">
        <f aca="false">D72+E71</f>
        <v>55.219577450055</v>
      </c>
      <c r="F72" s="42" t="n">
        <f aca="false">E72+F71</f>
        <v>4.50992664304346</v>
      </c>
      <c r="G72" s="42" t="n">
        <f aca="false">F72+G71</f>
        <v>-13.9761000389013</v>
      </c>
    </row>
    <row r="73" customFormat="false" ht="15" hidden="false" customHeight="true" outlineLevel="0" collapsed="false">
      <c r="A73" s="10" t="s">
        <v>276</v>
      </c>
      <c r="C73" s="39" t="n">
        <f aca="false">IF(C72&gt;=0,1,0)</f>
        <v>0</v>
      </c>
      <c r="D73" s="39" t="n">
        <f aca="false">IF(D72&gt;=0,1,0)</f>
        <v>1</v>
      </c>
      <c r="E73" s="39" t="n">
        <f aca="false">IF(E72&gt;=0,1,0)</f>
        <v>1</v>
      </c>
      <c r="F73" s="39" t="n">
        <f aca="false">IF(F72&gt;=0,1,0)</f>
        <v>1</v>
      </c>
      <c r="G73" s="39" t="n">
        <f aca="false">IF(G72&gt;=0,1,0)</f>
        <v>0</v>
      </c>
    </row>
    <row r="74" customFormat="false" ht="15" hidden="false" customHeight="true" outlineLevel="0" collapsed="false">
      <c r="A74" s="10" t="s">
        <v>207</v>
      </c>
      <c r="C74" s="41" t="n">
        <f aca="false">SUMIF($C$6:$BJ$6,1,$C$49:$BJ$49)/1000000</f>
        <v>79.985613186</v>
      </c>
      <c r="D74" s="41" t="n">
        <f aca="false">SUMIF($C$6:$BJ$6,2,$C$49:$BJ$49)/1000000</f>
        <v>125.97734076795</v>
      </c>
      <c r="E74" s="41" t="n">
        <f aca="false">SUMIF($C$6:$BJ$6,3,$C$49:$BJ$49)/1000000</f>
        <v>176.36827707513</v>
      </c>
      <c r="F74" s="41" t="n">
        <f aca="false">SUMIF($C$6:$BJ$6,4,$C$49:$BJ$49)/1000000</f>
        <v>0</v>
      </c>
      <c r="G74" s="41" t="n">
        <f aca="false">SUMIF($C$6:$BJ$6,5,$C$49:$BJ$49)/1000000</f>
        <v>0</v>
      </c>
    </row>
    <row r="75" customFormat="false" ht="15" hidden="false" customHeight="true" outlineLevel="0" collapsed="false">
      <c r="A75" s="10" t="s">
        <v>208</v>
      </c>
      <c r="C75" s="39" t="n">
        <f aca="false">INDEX($C$38:$BJ$38,1,12)</f>
        <v>3</v>
      </c>
      <c r="D75" s="39" t="n">
        <f aca="false">INDEX($C$38:$BJ$38,1,24)</f>
        <v>3</v>
      </c>
      <c r="E75" s="39" t="n">
        <f aca="false">INDEX($C$38:$BJ$38,1,36)</f>
        <v>3</v>
      </c>
      <c r="F75" s="39" t="n">
        <f aca="false">INDEX($C$38:$BJ$38,1,48)</f>
        <v>3</v>
      </c>
      <c r="G75" s="39" t="n">
        <f aca="false">INDEX($C$38:$BJ$38,1,60)</f>
        <v>4</v>
      </c>
    </row>
    <row r="76" customFormat="false" ht="15" hidden="false" customHeight="true" outlineLevel="0" collapsed="false">
      <c r="A76" s="10" t="s">
        <v>277</v>
      </c>
      <c r="C76" s="41" t="n">
        <f aca="false">IF(C75=0,0,C57/C75)</f>
        <v>4.9875</v>
      </c>
      <c r="D76" s="41" t="n">
        <f aca="false">IF(D75=0,0,D57/D75)</f>
        <v>18.224325</v>
      </c>
      <c r="E76" s="41" t="n">
        <f aca="false">IF(E75=0,0,E57/E75)</f>
        <v>40.69051875</v>
      </c>
      <c r="F76" s="41" t="n">
        <f aca="false">IF(F75=0,0,F57/F75)</f>
        <v>70.4385871875</v>
      </c>
      <c r="G76" s="41" t="n">
        <f aca="false">IF(G75=0,0,G57/G75)</f>
        <v>77.2948021289063</v>
      </c>
    </row>
    <row r="77" customFormat="false" ht="15" hidden="false" customHeight="true" outlineLevel="0" collapsed="false">
      <c r="A77" s="10" t="s">
        <v>278</v>
      </c>
      <c r="C77" s="44" t="n">
        <f aca="false">ROUNDUP((SUMIF($C$6:$BJ$6,1,$C$46:$BJ$46)+SUMIF($C$6:$BJ$6,1,$C$21:$BJ$21))/12/(INDEX($C$17:$BJ$17,1,12)*(1-Supuestos!$C$30)-Supuestos!$C$29*(1+Supuestos!$C$39)^(1-1)),0)</f>
        <v>36</v>
      </c>
      <c r="D77" s="44" t="n">
        <f aca="false">ROUNDUP((SUMIF($C$6:$BJ$6,2,$C$46:$BJ$46)+SUMIF($C$6:$BJ$6,2,$C$21:$BJ$21))/12/(INDEX($C$17:$BJ$17,1,24)*(1-Supuestos!$C$30)-Supuestos!$C$29*(1+Supuestos!$C$39)^(2-1)),0)</f>
        <v>58</v>
      </c>
      <c r="E77" s="44" t="n">
        <f aca="false">ROUNDUP((SUMIF($C$6:$BJ$6,3,$C$46:$BJ$46)+SUMIF($C$6:$BJ$6,3,$C$21:$BJ$21))/12/(INDEX($C$17:$BJ$17,1,36)*(1-Supuestos!$C$30)-Supuestos!$C$29*(1+Supuestos!$C$39)^(3-1)),0)</f>
        <v>101</v>
      </c>
      <c r="F77" s="44" t="n">
        <f aca="false">ROUNDUP((SUMIF($C$6:$BJ$6,4,$C$46:$BJ$46)+SUMIF($C$6:$BJ$6,4,$C$21:$BJ$21))/12/(INDEX($C$17:$BJ$17,1,48)*(1-Supuestos!$C$30)-Supuestos!$C$29*(1+Supuestos!$C$39)^(4-1)),0)</f>
        <v>479</v>
      </c>
      <c r="G77" s="44" t="n">
        <f aca="false">ROUNDUP((SUMIF($C$6:$BJ$6,5,$C$46:$BJ$46)+SUMIF($C$6:$BJ$6,5,$C$21:$BJ$21))/12/(INDEX($C$17:$BJ$17,1,60)*(1-Supuestos!$C$30)-Supuestos!$C$29*(1+Supuestos!$C$39)^(5-1)),0)</f>
        <v>566</v>
      </c>
    </row>
    <row r="79" customFormat="false" ht="15" hidden="false" customHeight="true" outlineLevel="0" collapsed="false">
      <c r="A79" s="8" t="s">
        <v>279</v>
      </c>
      <c r="B79" s="9"/>
      <c r="C79" s="9"/>
      <c r="D79" s="9"/>
      <c r="E79" s="9"/>
      <c r="F79" s="9"/>
      <c r="G79" s="9"/>
      <c r="H79" s="9"/>
    </row>
    <row r="80" customFormat="false" ht="15" hidden="false" customHeight="true" outlineLevel="0" collapsed="false">
      <c r="A80" s="10" t="s">
        <v>216</v>
      </c>
      <c r="C80" s="42" t="n">
        <f aca="false">B71+NPV(Supuestos!$C$75,C71:G71)</f>
        <v>0.84796043240187</v>
      </c>
    </row>
    <row r="81" customFormat="false" ht="15" hidden="false" customHeight="true" outlineLevel="0" collapsed="false">
      <c r="A81" s="10" t="s">
        <v>217</v>
      </c>
      <c r="C81" s="48" t="n">
        <f aca="false">IFERROR(IRR(B71:G71),"No existe")</f>
        <v>0.176890017201428</v>
      </c>
    </row>
    <row r="82" customFormat="false" ht="15" hidden="false" customHeight="true" outlineLevel="0" collapsed="false">
      <c r="A82" s="10" t="s">
        <v>218</v>
      </c>
      <c r="C82" s="46" t="n">
        <f aca="false">IFERROR(MATCH(1,C73:G73,0),"Más de 5 años")</f>
        <v>2</v>
      </c>
    </row>
    <row r="83" customFormat="false" ht="15" hidden="false" customHeight="true" outlineLevel="0" collapsed="false">
      <c r="A83" s="10" t="s">
        <v>219</v>
      </c>
      <c r="C83" s="42" t="n">
        <f aca="false">-MIN(0,MIN($C$48:$BJ$48))/1000000</f>
        <v>5.54980484</v>
      </c>
    </row>
    <row r="84" customFormat="false" ht="15" hidden="false" customHeight="true" outlineLevel="0" collapsed="false">
      <c r="A84" s="10" t="s">
        <v>220</v>
      </c>
      <c r="C84" s="46" t="n">
        <f aca="false">IFERROR(MATCH(TRUE(),INDEX($C$47:$BJ$47&gt;0,0),0),"No ocurre en 5 años")</f>
        <v>9</v>
      </c>
    </row>
    <row r="86" customFormat="false" ht="15" hidden="false" customHeight="false" outlineLevel="0" collapsed="false">
      <c r="A86" s="28" t="s">
        <v>160</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row>
    <row r="87" customFormat="false" ht="15" hidden="false" customHeight="false" outlineLevel="0" collapsed="false">
      <c r="A87" s="16" t="s">
        <v>280</v>
      </c>
      <c r="B87" s="7" t="s">
        <v>109</v>
      </c>
      <c r="C87" s="46" t="n">
        <f aca="false">Supuestos!$C$51-C35</f>
        <v>3</v>
      </c>
      <c r="D87" s="46" t="n">
        <f aca="false">Supuestos!$C$51-D35</f>
        <v>3</v>
      </c>
      <c r="E87" s="46" t="n">
        <f aca="false">Supuestos!$C$51-E35</f>
        <v>3</v>
      </c>
      <c r="F87" s="46" t="n">
        <f aca="false">Supuestos!$C$51-F35</f>
        <v>3</v>
      </c>
      <c r="G87" s="46" t="n">
        <f aca="false">Supuestos!$C$51-G35</f>
        <v>3</v>
      </c>
      <c r="H87" s="46" t="n">
        <f aca="false">Supuestos!$C$51-H35</f>
        <v>3</v>
      </c>
      <c r="I87" s="46" t="n">
        <f aca="false">Supuestos!$C$51-I35</f>
        <v>3</v>
      </c>
      <c r="J87" s="46" t="n">
        <f aca="false">Supuestos!$C$51-J35</f>
        <v>3</v>
      </c>
      <c r="K87" s="46" t="n">
        <f aca="false">Supuestos!$C$51-K35</f>
        <v>3</v>
      </c>
      <c r="L87" s="46" t="n">
        <f aca="false">Supuestos!$C$51-L35</f>
        <v>3</v>
      </c>
      <c r="M87" s="46" t="n">
        <f aca="false">Supuestos!$C$51-M35</f>
        <v>3</v>
      </c>
      <c r="N87" s="46" t="n">
        <f aca="false">Supuestos!$C$51-N35</f>
        <v>3</v>
      </c>
      <c r="O87" s="46" t="n">
        <f aca="false">Supuestos!$C$51-O35</f>
        <v>3</v>
      </c>
      <c r="P87" s="46" t="n">
        <f aca="false">Supuestos!$C$51-P35</f>
        <v>3</v>
      </c>
      <c r="Q87" s="46" t="n">
        <f aca="false">Supuestos!$C$51-Q35</f>
        <v>3</v>
      </c>
      <c r="R87" s="46" t="n">
        <f aca="false">Supuestos!$C$51-R35</f>
        <v>3</v>
      </c>
      <c r="S87" s="46" t="n">
        <f aca="false">Supuestos!$C$51-S35</f>
        <v>3</v>
      </c>
      <c r="T87" s="46" t="n">
        <f aca="false">Supuestos!$C$51-T35</f>
        <v>3</v>
      </c>
      <c r="U87" s="46" t="n">
        <f aca="false">Supuestos!$C$51-U35</f>
        <v>3</v>
      </c>
      <c r="V87" s="46" t="n">
        <f aca="false">Supuestos!$C$51-V35</f>
        <v>3</v>
      </c>
      <c r="W87" s="46" t="n">
        <f aca="false">Supuestos!$C$51-W35</f>
        <v>3</v>
      </c>
      <c r="X87" s="46" t="n">
        <f aca="false">Supuestos!$C$51-X35</f>
        <v>3</v>
      </c>
      <c r="Y87" s="46" t="n">
        <f aca="false">Supuestos!$C$51-Y35</f>
        <v>3</v>
      </c>
      <c r="Z87" s="46" t="n">
        <f aca="false">Supuestos!$C$51-Z35</f>
        <v>3</v>
      </c>
      <c r="AA87" s="46" t="n">
        <f aca="false">Supuestos!$C$51-AA35</f>
        <v>3</v>
      </c>
      <c r="AB87" s="46" t="n">
        <f aca="false">Supuestos!$C$51-AB35</f>
        <v>3</v>
      </c>
      <c r="AC87" s="46" t="n">
        <f aca="false">Supuestos!$C$51-AC35</f>
        <v>3</v>
      </c>
      <c r="AD87" s="46" t="n">
        <f aca="false">Supuestos!$C$51-AD35</f>
        <v>3</v>
      </c>
      <c r="AE87" s="46" t="n">
        <f aca="false">Supuestos!$C$51-AE35</f>
        <v>3</v>
      </c>
      <c r="AF87" s="46" t="n">
        <f aca="false">Supuestos!$C$51-AF35</f>
        <v>3</v>
      </c>
      <c r="AG87" s="46" t="n">
        <f aca="false">Supuestos!$C$51-AG35</f>
        <v>3</v>
      </c>
      <c r="AH87" s="46" t="n">
        <f aca="false">Supuestos!$C$51-AH35</f>
        <v>3</v>
      </c>
      <c r="AI87" s="46" t="n">
        <f aca="false">Supuestos!$C$51-AI35</f>
        <v>3</v>
      </c>
      <c r="AJ87" s="46" t="n">
        <f aca="false">Supuestos!$C$51-AJ35</f>
        <v>3</v>
      </c>
      <c r="AK87" s="46" t="n">
        <f aca="false">Supuestos!$C$51-AK35</f>
        <v>3</v>
      </c>
      <c r="AL87" s="46" t="n">
        <f aca="false">Supuestos!$C$51-AL35</f>
        <v>3</v>
      </c>
      <c r="AM87" s="46" t="n">
        <f aca="false">Supuestos!$C$51-AM35</f>
        <v>0</v>
      </c>
      <c r="AN87" s="46" t="n">
        <f aca="false">Supuestos!$C$51-AN35</f>
        <v>0</v>
      </c>
      <c r="AO87" s="46" t="n">
        <f aca="false">Supuestos!$C$51-AO35</f>
        <v>0</v>
      </c>
      <c r="AP87" s="46" t="n">
        <f aca="false">Supuestos!$C$51-AP35</f>
        <v>0</v>
      </c>
      <c r="AQ87" s="46" t="n">
        <f aca="false">Supuestos!$C$51-AQ35</f>
        <v>0</v>
      </c>
      <c r="AR87" s="46" t="n">
        <f aca="false">Supuestos!$C$51-AR35</f>
        <v>0</v>
      </c>
      <c r="AS87" s="46" t="n">
        <f aca="false">Supuestos!$C$51-AS35</f>
        <v>0</v>
      </c>
      <c r="AT87" s="46" t="n">
        <f aca="false">Supuestos!$C$51-AT35</f>
        <v>0</v>
      </c>
      <c r="AU87" s="46" t="n">
        <f aca="false">Supuestos!$C$51-AU35</f>
        <v>0</v>
      </c>
      <c r="AV87" s="46" t="n">
        <f aca="false">Supuestos!$C$51-AV35</f>
        <v>0</v>
      </c>
      <c r="AW87" s="46" t="n">
        <f aca="false">Supuestos!$C$51-AW35</f>
        <v>0</v>
      </c>
      <c r="AX87" s="46" t="n">
        <f aca="false">Supuestos!$C$51-AX35</f>
        <v>0</v>
      </c>
      <c r="AY87" s="46" t="n">
        <f aca="false">Supuestos!$C$51-AY35</f>
        <v>0</v>
      </c>
      <c r="AZ87" s="46" t="n">
        <f aca="false">Supuestos!$C$51-AZ35</f>
        <v>0</v>
      </c>
      <c r="BA87" s="46" t="n">
        <f aca="false">Supuestos!$C$51-BA35</f>
        <v>0</v>
      </c>
      <c r="BB87" s="46" t="n">
        <f aca="false">Supuestos!$C$51-BB35</f>
        <v>0</v>
      </c>
      <c r="BC87" s="46" t="n">
        <f aca="false">Supuestos!$C$51-BC35</f>
        <v>0</v>
      </c>
      <c r="BD87" s="46" t="n">
        <f aca="false">Supuestos!$C$51-BD35</f>
        <v>0</v>
      </c>
      <c r="BE87" s="46" t="n">
        <f aca="false">Supuestos!$C$51-BE35</f>
        <v>0</v>
      </c>
      <c r="BF87" s="46" t="n">
        <f aca="false">Supuestos!$C$51-BF35</f>
        <v>0</v>
      </c>
      <c r="BG87" s="46" t="n">
        <f aca="false">Supuestos!$C$51-BG35</f>
        <v>0</v>
      </c>
      <c r="BH87" s="46" t="n">
        <f aca="false">Supuestos!$C$51-BH35</f>
        <v>0</v>
      </c>
      <c r="BI87" s="46" t="n">
        <f aca="false">Supuestos!$C$51-BI35</f>
        <v>0</v>
      </c>
      <c r="BJ87" s="46" t="n">
        <f aca="false">Supuestos!$C$51-BJ35</f>
        <v>0</v>
      </c>
    </row>
    <row r="88" customFormat="false" ht="15" hidden="false" customHeight="false" outlineLevel="0" collapsed="false">
      <c r="A88" s="10" t="s">
        <v>281</v>
      </c>
      <c r="B88" s="7" t="s">
        <v>146</v>
      </c>
      <c r="C88" s="43" t="n">
        <f aca="false">C87*(Supuestos!$C$84/1000*(C31/Supuestos!$C$51)*Supuestos!$C$83+Supuestos!$C$85*MIN(1,(C31/Supuestos!$C$51)/Supuestos!$C$86))*(1+Supuestos!$C$39)^(C6-1)</f>
        <v>45544.98</v>
      </c>
      <c r="D88" s="43" t="n">
        <f aca="false">D87*(Supuestos!$C$84/1000*(D31/Supuestos!$C$51)*Supuestos!$C$83+Supuestos!$C$85*MIN(1,(D31/Supuestos!$C$51)/Supuestos!$C$86))*(1+Supuestos!$C$39)^(D6-1)</f>
        <v>45544.98</v>
      </c>
      <c r="E88" s="43" t="n">
        <f aca="false">E87*(Supuestos!$C$84/1000*(E31/Supuestos!$C$51)*Supuestos!$C$83+Supuestos!$C$85*MIN(1,(E31/Supuestos!$C$51)/Supuestos!$C$86))*(1+Supuestos!$C$39)^(E6-1)</f>
        <v>45544.98</v>
      </c>
      <c r="F88" s="43" t="n">
        <f aca="false">F87*(Supuestos!$C$84/1000*(F31/Supuestos!$C$51)*Supuestos!$C$83+Supuestos!$C$85*MIN(1,(F31/Supuestos!$C$51)/Supuestos!$C$86))*(1+Supuestos!$C$39)^(F6-1)</f>
        <v>45544.98</v>
      </c>
      <c r="G88" s="43" t="n">
        <f aca="false">G87*(Supuestos!$C$84/1000*(G31/Supuestos!$C$51)*Supuestos!$C$83+Supuestos!$C$85*MIN(1,(G31/Supuestos!$C$51)/Supuestos!$C$86))*(1+Supuestos!$C$39)^(G6-1)</f>
        <v>45544.98</v>
      </c>
      <c r="H88" s="43" t="n">
        <f aca="false">H87*(Supuestos!$C$84/1000*(H31/Supuestos!$C$51)*Supuestos!$C$83+Supuestos!$C$85*MIN(1,(H31/Supuestos!$C$51)/Supuestos!$C$86))*(1+Supuestos!$C$39)^(H6-1)</f>
        <v>45544.98</v>
      </c>
      <c r="I88" s="43" t="n">
        <f aca="false">I87*(Supuestos!$C$84/1000*(I31/Supuestos!$C$51)*Supuestos!$C$83+Supuestos!$C$85*MIN(1,(I31/Supuestos!$C$51)/Supuestos!$C$86))*(1+Supuestos!$C$39)^(I6-1)</f>
        <v>45544.98</v>
      </c>
      <c r="J88" s="43" t="n">
        <f aca="false">J87*(Supuestos!$C$84/1000*(J31/Supuestos!$C$51)*Supuestos!$C$83+Supuestos!$C$85*MIN(1,(J31/Supuestos!$C$51)/Supuestos!$C$86))*(1+Supuestos!$C$39)^(J6-1)</f>
        <v>45544.98</v>
      </c>
      <c r="K88" s="43" t="n">
        <f aca="false">K87*(Supuestos!$C$84/1000*(K31/Supuestos!$C$51)*Supuestos!$C$83+Supuestos!$C$85*MIN(1,(K31/Supuestos!$C$51)/Supuestos!$C$86))*(1+Supuestos!$C$39)^(K6-1)</f>
        <v>45544.98</v>
      </c>
      <c r="L88" s="43" t="n">
        <f aca="false">L87*(Supuestos!$C$84/1000*(L31/Supuestos!$C$51)*Supuestos!$C$83+Supuestos!$C$85*MIN(1,(L31/Supuestos!$C$51)/Supuestos!$C$86))*(1+Supuestos!$C$39)^(L6-1)</f>
        <v>45544.98</v>
      </c>
      <c r="M88" s="43" t="n">
        <f aca="false">M87*(Supuestos!$C$84/1000*(M31/Supuestos!$C$51)*Supuestos!$C$83+Supuestos!$C$85*MIN(1,(M31/Supuestos!$C$51)/Supuestos!$C$86))*(1+Supuestos!$C$39)^(M6-1)</f>
        <v>45544.98</v>
      </c>
      <c r="N88" s="43" t="n">
        <f aca="false">N87*(Supuestos!$C$84/1000*(N31/Supuestos!$C$51)*Supuestos!$C$83+Supuestos!$C$85*MIN(1,(N31/Supuestos!$C$51)/Supuestos!$C$86))*(1+Supuestos!$C$39)^(N6-1)</f>
        <v>45544.98</v>
      </c>
      <c r="O88" s="43" t="n">
        <f aca="false">O87*(Supuestos!$C$84/1000*(O31/Supuestos!$C$51)*Supuestos!$C$83+Supuestos!$C$85*MIN(1,(O31/Supuestos!$C$51)/Supuestos!$C$86))*(1+Supuestos!$C$39)^(O6-1)</f>
        <v>71733.3435</v>
      </c>
      <c r="P88" s="43" t="n">
        <f aca="false">P87*(Supuestos!$C$84/1000*(P31/Supuestos!$C$51)*Supuestos!$C$83+Supuestos!$C$85*MIN(1,(P31/Supuestos!$C$51)/Supuestos!$C$86))*(1+Supuestos!$C$39)^(P6-1)</f>
        <v>71733.3435</v>
      </c>
      <c r="Q88" s="43" t="n">
        <f aca="false">Q87*(Supuestos!$C$84/1000*(Q31/Supuestos!$C$51)*Supuestos!$C$83+Supuestos!$C$85*MIN(1,(Q31/Supuestos!$C$51)/Supuestos!$C$86))*(1+Supuestos!$C$39)^(Q6-1)</f>
        <v>71733.3435</v>
      </c>
      <c r="R88" s="43" t="n">
        <f aca="false">R87*(Supuestos!$C$84/1000*(R31/Supuestos!$C$51)*Supuestos!$C$83+Supuestos!$C$85*MIN(1,(R31/Supuestos!$C$51)/Supuestos!$C$86))*(1+Supuestos!$C$39)^(R6-1)</f>
        <v>71733.3435</v>
      </c>
      <c r="S88" s="43" t="n">
        <f aca="false">S87*(Supuestos!$C$84/1000*(S31/Supuestos!$C$51)*Supuestos!$C$83+Supuestos!$C$85*MIN(1,(S31/Supuestos!$C$51)/Supuestos!$C$86))*(1+Supuestos!$C$39)^(S6-1)</f>
        <v>71733.3435</v>
      </c>
      <c r="T88" s="43" t="n">
        <f aca="false">T87*(Supuestos!$C$84/1000*(T31/Supuestos!$C$51)*Supuestos!$C$83+Supuestos!$C$85*MIN(1,(T31/Supuestos!$C$51)/Supuestos!$C$86))*(1+Supuestos!$C$39)^(T6-1)</f>
        <v>71733.3435</v>
      </c>
      <c r="U88" s="43" t="n">
        <f aca="false">U87*(Supuestos!$C$84/1000*(U31/Supuestos!$C$51)*Supuestos!$C$83+Supuestos!$C$85*MIN(1,(U31/Supuestos!$C$51)/Supuestos!$C$86))*(1+Supuestos!$C$39)^(U6-1)</f>
        <v>71733.3435</v>
      </c>
      <c r="V88" s="43" t="n">
        <f aca="false">V87*(Supuestos!$C$84/1000*(V31/Supuestos!$C$51)*Supuestos!$C$83+Supuestos!$C$85*MIN(1,(V31/Supuestos!$C$51)/Supuestos!$C$86))*(1+Supuestos!$C$39)^(V6-1)</f>
        <v>71733.3435</v>
      </c>
      <c r="W88" s="43" t="n">
        <f aca="false">W87*(Supuestos!$C$84/1000*(W31/Supuestos!$C$51)*Supuestos!$C$83+Supuestos!$C$85*MIN(1,(W31/Supuestos!$C$51)/Supuestos!$C$86))*(1+Supuestos!$C$39)^(W6-1)</f>
        <v>71733.3435</v>
      </c>
      <c r="X88" s="43" t="n">
        <f aca="false">X87*(Supuestos!$C$84/1000*(X31/Supuestos!$C$51)*Supuestos!$C$83+Supuestos!$C$85*MIN(1,(X31/Supuestos!$C$51)/Supuestos!$C$86))*(1+Supuestos!$C$39)^(X6-1)</f>
        <v>71733.3435</v>
      </c>
      <c r="Y88" s="43" t="n">
        <f aca="false">Y87*(Supuestos!$C$84/1000*(Y31/Supuestos!$C$51)*Supuestos!$C$83+Supuestos!$C$85*MIN(1,(Y31/Supuestos!$C$51)/Supuestos!$C$86))*(1+Supuestos!$C$39)^(Y6-1)</f>
        <v>71733.3435</v>
      </c>
      <c r="Z88" s="43" t="n">
        <f aca="false">Z87*(Supuestos!$C$84/1000*(Z31/Supuestos!$C$51)*Supuestos!$C$83+Supuestos!$C$85*MIN(1,(Z31/Supuestos!$C$51)/Supuestos!$C$86))*(1+Supuestos!$C$39)^(Z6-1)</f>
        <v>71733.3435</v>
      </c>
      <c r="AA88" s="43" t="n">
        <f aca="false">AA87*(Supuestos!$C$84/1000*(AA31/Supuestos!$C$51)*Supuestos!$C$83+Supuestos!$C$85*MIN(1,(AA31/Supuestos!$C$51)/Supuestos!$C$86))*(1+Supuestos!$C$39)^(AA6-1)</f>
        <v>100426.6809</v>
      </c>
      <c r="AB88" s="43" t="n">
        <f aca="false">AB87*(Supuestos!$C$84/1000*(AB31/Supuestos!$C$51)*Supuestos!$C$83+Supuestos!$C$85*MIN(1,(AB31/Supuestos!$C$51)/Supuestos!$C$86))*(1+Supuestos!$C$39)^(AB6-1)</f>
        <v>100426.6809</v>
      </c>
      <c r="AC88" s="43" t="n">
        <f aca="false">AC87*(Supuestos!$C$84/1000*(AC31/Supuestos!$C$51)*Supuestos!$C$83+Supuestos!$C$85*MIN(1,(AC31/Supuestos!$C$51)/Supuestos!$C$86))*(1+Supuestos!$C$39)^(AC6-1)</f>
        <v>100426.6809</v>
      </c>
      <c r="AD88" s="43" t="n">
        <f aca="false">AD87*(Supuestos!$C$84/1000*(AD31/Supuestos!$C$51)*Supuestos!$C$83+Supuestos!$C$85*MIN(1,(AD31/Supuestos!$C$51)/Supuestos!$C$86))*(1+Supuestos!$C$39)^(AD6-1)</f>
        <v>100426.6809</v>
      </c>
      <c r="AE88" s="43" t="n">
        <f aca="false">AE87*(Supuestos!$C$84/1000*(AE31/Supuestos!$C$51)*Supuestos!$C$83+Supuestos!$C$85*MIN(1,(AE31/Supuestos!$C$51)/Supuestos!$C$86))*(1+Supuestos!$C$39)^(AE6-1)</f>
        <v>100426.6809</v>
      </c>
      <c r="AF88" s="43" t="n">
        <f aca="false">AF87*(Supuestos!$C$84/1000*(AF31/Supuestos!$C$51)*Supuestos!$C$83+Supuestos!$C$85*MIN(1,(AF31/Supuestos!$C$51)/Supuestos!$C$86))*(1+Supuestos!$C$39)^(AF6-1)</f>
        <v>100426.6809</v>
      </c>
      <c r="AG88" s="43" t="n">
        <f aca="false">AG87*(Supuestos!$C$84/1000*(AG31/Supuestos!$C$51)*Supuestos!$C$83+Supuestos!$C$85*MIN(1,(AG31/Supuestos!$C$51)/Supuestos!$C$86))*(1+Supuestos!$C$39)^(AG6-1)</f>
        <v>100426.6809</v>
      </c>
      <c r="AH88" s="43" t="n">
        <f aca="false">AH87*(Supuestos!$C$84/1000*(AH31/Supuestos!$C$51)*Supuestos!$C$83+Supuestos!$C$85*MIN(1,(AH31/Supuestos!$C$51)/Supuestos!$C$86))*(1+Supuestos!$C$39)^(AH6-1)</f>
        <v>100426.6809</v>
      </c>
      <c r="AI88" s="43" t="n">
        <f aca="false">AI87*(Supuestos!$C$84/1000*(AI31/Supuestos!$C$51)*Supuestos!$C$83+Supuestos!$C$85*MIN(1,(AI31/Supuestos!$C$51)/Supuestos!$C$86))*(1+Supuestos!$C$39)^(AI6-1)</f>
        <v>100426.6809</v>
      </c>
      <c r="AJ88" s="43" t="n">
        <f aca="false">AJ87*(Supuestos!$C$84/1000*(AJ31/Supuestos!$C$51)*Supuestos!$C$83+Supuestos!$C$85*MIN(1,(AJ31/Supuestos!$C$51)/Supuestos!$C$86))*(1+Supuestos!$C$39)^(AJ6-1)</f>
        <v>100426.6809</v>
      </c>
      <c r="AK88" s="43" t="n">
        <f aca="false">AK87*(Supuestos!$C$84/1000*(AK31/Supuestos!$C$51)*Supuestos!$C$83+Supuestos!$C$85*MIN(1,(AK31/Supuestos!$C$51)/Supuestos!$C$86))*(1+Supuestos!$C$39)^(AK6-1)</f>
        <v>100426.6809</v>
      </c>
      <c r="AL88" s="43" t="n">
        <f aca="false">AL87*(Supuestos!$C$84/1000*(AL31/Supuestos!$C$51)*Supuestos!$C$83+Supuestos!$C$85*MIN(1,(AL31/Supuestos!$C$51)/Supuestos!$C$86))*(1+Supuestos!$C$39)^(AL6-1)</f>
        <v>100426.6809</v>
      </c>
      <c r="AM88" s="43" t="n">
        <f aca="false">AM87*(Supuestos!$C$84/1000*(AM31/Supuestos!$C$51)*Supuestos!$C$83+Supuestos!$C$85*MIN(1,(AM31/Supuestos!$C$51)/Supuestos!$C$86))*(1+Supuestos!$C$39)^(AM6-1)</f>
        <v>0</v>
      </c>
      <c r="AN88" s="43" t="n">
        <f aca="false">AN87*(Supuestos!$C$84/1000*(AN31/Supuestos!$C$51)*Supuestos!$C$83+Supuestos!$C$85*MIN(1,(AN31/Supuestos!$C$51)/Supuestos!$C$86))*(1+Supuestos!$C$39)^(AN6-1)</f>
        <v>0</v>
      </c>
      <c r="AO88" s="43" t="n">
        <f aca="false">AO87*(Supuestos!$C$84/1000*(AO31/Supuestos!$C$51)*Supuestos!$C$83+Supuestos!$C$85*MIN(1,(AO31/Supuestos!$C$51)/Supuestos!$C$86))*(1+Supuestos!$C$39)^(AO6-1)</f>
        <v>0</v>
      </c>
      <c r="AP88" s="43" t="n">
        <f aca="false">AP87*(Supuestos!$C$84/1000*(AP31/Supuestos!$C$51)*Supuestos!$C$83+Supuestos!$C$85*MIN(1,(AP31/Supuestos!$C$51)/Supuestos!$C$86))*(1+Supuestos!$C$39)^(AP6-1)</f>
        <v>0</v>
      </c>
      <c r="AQ88" s="43" t="n">
        <f aca="false">AQ87*(Supuestos!$C$84/1000*(AQ31/Supuestos!$C$51)*Supuestos!$C$83+Supuestos!$C$85*MIN(1,(AQ31/Supuestos!$C$51)/Supuestos!$C$86))*(1+Supuestos!$C$39)^(AQ6-1)</f>
        <v>0</v>
      </c>
      <c r="AR88" s="43" t="n">
        <f aca="false">AR87*(Supuestos!$C$84/1000*(AR31/Supuestos!$C$51)*Supuestos!$C$83+Supuestos!$C$85*MIN(1,(AR31/Supuestos!$C$51)/Supuestos!$C$86))*(1+Supuestos!$C$39)^(AR6-1)</f>
        <v>0</v>
      </c>
      <c r="AS88" s="43" t="n">
        <f aca="false">AS87*(Supuestos!$C$84/1000*(AS31/Supuestos!$C$51)*Supuestos!$C$83+Supuestos!$C$85*MIN(1,(AS31/Supuestos!$C$51)/Supuestos!$C$86))*(1+Supuestos!$C$39)^(AS6-1)</f>
        <v>0</v>
      </c>
      <c r="AT88" s="43" t="n">
        <f aca="false">AT87*(Supuestos!$C$84/1000*(AT31/Supuestos!$C$51)*Supuestos!$C$83+Supuestos!$C$85*MIN(1,(AT31/Supuestos!$C$51)/Supuestos!$C$86))*(1+Supuestos!$C$39)^(AT6-1)</f>
        <v>0</v>
      </c>
      <c r="AU88" s="43" t="n">
        <f aca="false">AU87*(Supuestos!$C$84/1000*(AU31/Supuestos!$C$51)*Supuestos!$C$83+Supuestos!$C$85*MIN(1,(AU31/Supuestos!$C$51)/Supuestos!$C$86))*(1+Supuestos!$C$39)^(AU6-1)</f>
        <v>0</v>
      </c>
      <c r="AV88" s="43" t="n">
        <f aca="false">AV87*(Supuestos!$C$84/1000*(AV31/Supuestos!$C$51)*Supuestos!$C$83+Supuestos!$C$85*MIN(1,(AV31/Supuestos!$C$51)/Supuestos!$C$86))*(1+Supuestos!$C$39)^(AV6-1)</f>
        <v>0</v>
      </c>
      <c r="AW88" s="43" t="n">
        <f aca="false">AW87*(Supuestos!$C$84/1000*(AW31/Supuestos!$C$51)*Supuestos!$C$83+Supuestos!$C$85*MIN(1,(AW31/Supuestos!$C$51)/Supuestos!$C$86))*(1+Supuestos!$C$39)^(AW6-1)</f>
        <v>0</v>
      </c>
      <c r="AX88" s="43" t="n">
        <f aca="false">AX87*(Supuestos!$C$84/1000*(AX31/Supuestos!$C$51)*Supuestos!$C$83+Supuestos!$C$85*MIN(1,(AX31/Supuestos!$C$51)/Supuestos!$C$86))*(1+Supuestos!$C$39)^(AX6-1)</f>
        <v>0</v>
      </c>
      <c r="AY88" s="43" t="n">
        <f aca="false">AY87*(Supuestos!$C$84/1000*(AY31/Supuestos!$C$51)*Supuestos!$C$83+Supuestos!$C$85*MIN(1,(AY31/Supuestos!$C$51)/Supuestos!$C$86))*(1+Supuestos!$C$39)^(AY6-1)</f>
        <v>0</v>
      </c>
      <c r="AZ88" s="43" t="n">
        <f aca="false">AZ87*(Supuestos!$C$84/1000*(AZ31/Supuestos!$C$51)*Supuestos!$C$83+Supuestos!$C$85*MIN(1,(AZ31/Supuestos!$C$51)/Supuestos!$C$86))*(1+Supuestos!$C$39)^(AZ6-1)</f>
        <v>0</v>
      </c>
      <c r="BA88" s="43" t="n">
        <f aca="false">BA87*(Supuestos!$C$84/1000*(BA31/Supuestos!$C$51)*Supuestos!$C$83+Supuestos!$C$85*MIN(1,(BA31/Supuestos!$C$51)/Supuestos!$C$86))*(1+Supuestos!$C$39)^(BA6-1)</f>
        <v>0</v>
      </c>
      <c r="BB88" s="43" t="n">
        <f aca="false">BB87*(Supuestos!$C$84/1000*(BB31/Supuestos!$C$51)*Supuestos!$C$83+Supuestos!$C$85*MIN(1,(BB31/Supuestos!$C$51)/Supuestos!$C$86))*(1+Supuestos!$C$39)^(BB6-1)</f>
        <v>0</v>
      </c>
      <c r="BC88" s="43" t="n">
        <f aca="false">BC87*(Supuestos!$C$84/1000*(BC31/Supuestos!$C$51)*Supuestos!$C$83+Supuestos!$C$85*MIN(1,(BC31/Supuestos!$C$51)/Supuestos!$C$86))*(1+Supuestos!$C$39)^(BC6-1)</f>
        <v>0</v>
      </c>
      <c r="BD88" s="43" t="n">
        <f aca="false">BD87*(Supuestos!$C$84/1000*(BD31/Supuestos!$C$51)*Supuestos!$C$83+Supuestos!$C$85*MIN(1,(BD31/Supuestos!$C$51)/Supuestos!$C$86))*(1+Supuestos!$C$39)^(BD6-1)</f>
        <v>0</v>
      </c>
      <c r="BE88" s="43" t="n">
        <f aca="false">BE87*(Supuestos!$C$84/1000*(BE31/Supuestos!$C$51)*Supuestos!$C$83+Supuestos!$C$85*MIN(1,(BE31/Supuestos!$C$51)/Supuestos!$C$86))*(1+Supuestos!$C$39)^(BE6-1)</f>
        <v>0</v>
      </c>
      <c r="BF88" s="43" t="n">
        <f aca="false">BF87*(Supuestos!$C$84/1000*(BF31/Supuestos!$C$51)*Supuestos!$C$83+Supuestos!$C$85*MIN(1,(BF31/Supuestos!$C$51)/Supuestos!$C$86))*(1+Supuestos!$C$39)^(BF6-1)</f>
        <v>0</v>
      </c>
      <c r="BG88" s="43" t="n">
        <f aca="false">BG87*(Supuestos!$C$84/1000*(BG31/Supuestos!$C$51)*Supuestos!$C$83+Supuestos!$C$85*MIN(1,(BG31/Supuestos!$C$51)/Supuestos!$C$86))*(1+Supuestos!$C$39)^(BG6-1)</f>
        <v>0</v>
      </c>
      <c r="BH88" s="43" t="n">
        <f aca="false">BH87*(Supuestos!$C$84/1000*(BH31/Supuestos!$C$51)*Supuestos!$C$83+Supuestos!$C$85*MIN(1,(BH31/Supuestos!$C$51)/Supuestos!$C$86))*(1+Supuestos!$C$39)^(BH6-1)</f>
        <v>0</v>
      </c>
      <c r="BI88" s="43" t="n">
        <f aca="false">BI87*(Supuestos!$C$84/1000*(BI31/Supuestos!$C$51)*Supuestos!$C$83+Supuestos!$C$85*MIN(1,(BI31/Supuestos!$C$51)/Supuestos!$C$86))*(1+Supuestos!$C$39)^(BI6-1)</f>
        <v>0</v>
      </c>
      <c r="BJ88" s="43" t="n">
        <f aca="false">BJ87*(Supuestos!$C$84/1000*(BJ31/Supuestos!$C$51)*Supuestos!$C$83+Supuestos!$C$85*MIN(1,(BJ31/Supuestos!$C$51)/Supuestos!$C$86))*(1+Supuestos!$C$39)^(BJ6-1)</f>
        <v>0</v>
      </c>
    </row>
    <row r="89" customFormat="false" ht="15" hidden="false" customHeight="false" outlineLevel="0" collapsed="false">
      <c r="A89" s="10" t="s">
        <v>282</v>
      </c>
      <c r="B89" s="7" t="s">
        <v>146</v>
      </c>
      <c r="C89" s="43" t="n">
        <f aca="false">Supuestos!$C$51*Supuestos!$C$87/Supuestos!$C$88*(1+Supuestos!$C$39)^(C6-1)</f>
        <v>125000</v>
      </c>
      <c r="D89" s="43" t="n">
        <f aca="false">Supuestos!$C$51*Supuestos!$C$87/Supuestos!$C$88*(1+Supuestos!$C$39)^(D6-1)</f>
        <v>125000</v>
      </c>
      <c r="E89" s="43" t="n">
        <f aca="false">Supuestos!$C$51*Supuestos!$C$87/Supuestos!$C$88*(1+Supuestos!$C$39)^(E6-1)</f>
        <v>125000</v>
      </c>
      <c r="F89" s="43" t="n">
        <f aca="false">Supuestos!$C$51*Supuestos!$C$87/Supuestos!$C$88*(1+Supuestos!$C$39)^(F6-1)</f>
        <v>125000</v>
      </c>
      <c r="G89" s="43" t="n">
        <f aca="false">Supuestos!$C$51*Supuestos!$C$87/Supuestos!$C$88*(1+Supuestos!$C$39)^(G6-1)</f>
        <v>125000</v>
      </c>
      <c r="H89" s="43" t="n">
        <f aca="false">Supuestos!$C$51*Supuestos!$C$87/Supuestos!$C$88*(1+Supuestos!$C$39)^(H6-1)</f>
        <v>125000</v>
      </c>
      <c r="I89" s="43" t="n">
        <f aca="false">Supuestos!$C$51*Supuestos!$C$87/Supuestos!$C$88*(1+Supuestos!$C$39)^(I6-1)</f>
        <v>125000</v>
      </c>
      <c r="J89" s="43" t="n">
        <f aca="false">Supuestos!$C$51*Supuestos!$C$87/Supuestos!$C$88*(1+Supuestos!$C$39)^(J6-1)</f>
        <v>125000</v>
      </c>
      <c r="K89" s="43" t="n">
        <f aca="false">Supuestos!$C$51*Supuestos!$C$87/Supuestos!$C$88*(1+Supuestos!$C$39)^(K6-1)</f>
        <v>125000</v>
      </c>
      <c r="L89" s="43" t="n">
        <f aca="false">Supuestos!$C$51*Supuestos!$C$87/Supuestos!$C$88*(1+Supuestos!$C$39)^(L6-1)</f>
        <v>125000</v>
      </c>
      <c r="M89" s="43" t="n">
        <f aca="false">Supuestos!$C$51*Supuestos!$C$87/Supuestos!$C$88*(1+Supuestos!$C$39)^(M6-1)</f>
        <v>125000</v>
      </c>
      <c r="N89" s="43" t="n">
        <f aca="false">Supuestos!$C$51*Supuestos!$C$87/Supuestos!$C$88*(1+Supuestos!$C$39)^(N6-1)</f>
        <v>125000</v>
      </c>
      <c r="O89" s="43" t="n">
        <f aca="false">Supuestos!$C$51*Supuestos!$C$87/Supuestos!$C$88*(1+Supuestos!$C$39)^(O6-1)</f>
        <v>131250</v>
      </c>
      <c r="P89" s="43" t="n">
        <f aca="false">Supuestos!$C$51*Supuestos!$C$87/Supuestos!$C$88*(1+Supuestos!$C$39)^(P6-1)</f>
        <v>131250</v>
      </c>
      <c r="Q89" s="43" t="n">
        <f aca="false">Supuestos!$C$51*Supuestos!$C$87/Supuestos!$C$88*(1+Supuestos!$C$39)^(Q6-1)</f>
        <v>131250</v>
      </c>
      <c r="R89" s="43" t="n">
        <f aca="false">Supuestos!$C$51*Supuestos!$C$87/Supuestos!$C$88*(1+Supuestos!$C$39)^(R6-1)</f>
        <v>131250</v>
      </c>
      <c r="S89" s="43" t="n">
        <f aca="false">Supuestos!$C$51*Supuestos!$C$87/Supuestos!$C$88*(1+Supuestos!$C$39)^(S6-1)</f>
        <v>131250</v>
      </c>
      <c r="T89" s="43" t="n">
        <f aca="false">Supuestos!$C$51*Supuestos!$C$87/Supuestos!$C$88*(1+Supuestos!$C$39)^(T6-1)</f>
        <v>131250</v>
      </c>
      <c r="U89" s="43" t="n">
        <f aca="false">Supuestos!$C$51*Supuestos!$C$87/Supuestos!$C$88*(1+Supuestos!$C$39)^(U6-1)</f>
        <v>131250</v>
      </c>
      <c r="V89" s="43" t="n">
        <f aca="false">Supuestos!$C$51*Supuestos!$C$87/Supuestos!$C$88*(1+Supuestos!$C$39)^(V6-1)</f>
        <v>131250</v>
      </c>
      <c r="W89" s="43" t="n">
        <f aca="false">Supuestos!$C$51*Supuestos!$C$87/Supuestos!$C$88*(1+Supuestos!$C$39)^(W6-1)</f>
        <v>131250</v>
      </c>
      <c r="X89" s="43" t="n">
        <f aca="false">Supuestos!$C$51*Supuestos!$C$87/Supuestos!$C$88*(1+Supuestos!$C$39)^(X6-1)</f>
        <v>131250</v>
      </c>
      <c r="Y89" s="43" t="n">
        <f aca="false">Supuestos!$C$51*Supuestos!$C$87/Supuestos!$C$88*(1+Supuestos!$C$39)^(Y6-1)</f>
        <v>131250</v>
      </c>
      <c r="Z89" s="43" t="n">
        <f aca="false">Supuestos!$C$51*Supuestos!$C$87/Supuestos!$C$88*(1+Supuestos!$C$39)^(Z6-1)</f>
        <v>131250</v>
      </c>
      <c r="AA89" s="43" t="n">
        <f aca="false">Supuestos!$C$51*Supuestos!$C$87/Supuestos!$C$88*(1+Supuestos!$C$39)^(AA6-1)</f>
        <v>137812.5</v>
      </c>
      <c r="AB89" s="43" t="n">
        <f aca="false">Supuestos!$C$51*Supuestos!$C$87/Supuestos!$C$88*(1+Supuestos!$C$39)^(AB6-1)</f>
        <v>137812.5</v>
      </c>
      <c r="AC89" s="43" t="n">
        <f aca="false">Supuestos!$C$51*Supuestos!$C$87/Supuestos!$C$88*(1+Supuestos!$C$39)^(AC6-1)</f>
        <v>137812.5</v>
      </c>
      <c r="AD89" s="43" t="n">
        <f aca="false">Supuestos!$C$51*Supuestos!$C$87/Supuestos!$C$88*(1+Supuestos!$C$39)^(AD6-1)</f>
        <v>137812.5</v>
      </c>
      <c r="AE89" s="43" t="n">
        <f aca="false">Supuestos!$C$51*Supuestos!$C$87/Supuestos!$C$88*(1+Supuestos!$C$39)^(AE6-1)</f>
        <v>137812.5</v>
      </c>
      <c r="AF89" s="43" t="n">
        <f aca="false">Supuestos!$C$51*Supuestos!$C$87/Supuestos!$C$88*(1+Supuestos!$C$39)^(AF6-1)</f>
        <v>137812.5</v>
      </c>
      <c r="AG89" s="43" t="n">
        <f aca="false">Supuestos!$C$51*Supuestos!$C$87/Supuestos!$C$88*(1+Supuestos!$C$39)^(AG6-1)</f>
        <v>137812.5</v>
      </c>
      <c r="AH89" s="43" t="n">
        <f aca="false">Supuestos!$C$51*Supuestos!$C$87/Supuestos!$C$88*(1+Supuestos!$C$39)^(AH6-1)</f>
        <v>137812.5</v>
      </c>
      <c r="AI89" s="43" t="n">
        <f aca="false">Supuestos!$C$51*Supuestos!$C$87/Supuestos!$C$88*(1+Supuestos!$C$39)^(AI6-1)</f>
        <v>137812.5</v>
      </c>
      <c r="AJ89" s="43" t="n">
        <f aca="false">Supuestos!$C$51*Supuestos!$C$87/Supuestos!$C$88*(1+Supuestos!$C$39)^(AJ6-1)</f>
        <v>137812.5</v>
      </c>
      <c r="AK89" s="43" t="n">
        <f aca="false">Supuestos!$C$51*Supuestos!$C$87/Supuestos!$C$88*(1+Supuestos!$C$39)^(AK6-1)</f>
        <v>137812.5</v>
      </c>
      <c r="AL89" s="43" t="n">
        <f aca="false">Supuestos!$C$51*Supuestos!$C$87/Supuestos!$C$88*(1+Supuestos!$C$39)^(AL6-1)</f>
        <v>137812.5</v>
      </c>
      <c r="AM89" s="43" t="n">
        <f aca="false">Supuestos!$C$51*Supuestos!$C$87/Supuestos!$C$88*(1+Supuestos!$C$39)^(AM6-1)</f>
        <v>144703.125</v>
      </c>
      <c r="AN89" s="43" t="n">
        <f aca="false">Supuestos!$C$51*Supuestos!$C$87/Supuestos!$C$88*(1+Supuestos!$C$39)^(AN6-1)</f>
        <v>144703.125</v>
      </c>
      <c r="AO89" s="43" t="n">
        <f aca="false">Supuestos!$C$51*Supuestos!$C$87/Supuestos!$C$88*(1+Supuestos!$C$39)^(AO6-1)</f>
        <v>144703.125</v>
      </c>
      <c r="AP89" s="43" t="n">
        <f aca="false">Supuestos!$C$51*Supuestos!$C$87/Supuestos!$C$88*(1+Supuestos!$C$39)^(AP6-1)</f>
        <v>144703.125</v>
      </c>
      <c r="AQ89" s="43" t="n">
        <f aca="false">Supuestos!$C$51*Supuestos!$C$87/Supuestos!$C$88*(1+Supuestos!$C$39)^(AQ6-1)</f>
        <v>144703.125</v>
      </c>
      <c r="AR89" s="43" t="n">
        <f aca="false">Supuestos!$C$51*Supuestos!$C$87/Supuestos!$C$88*(1+Supuestos!$C$39)^(AR6-1)</f>
        <v>144703.125</v>
      </c>
      <c r="AS89" s="43" t="n">
        <f aca="false">Supuestos!$C$51*Supuestos!$C$87/Supuestos!$C$88*(1+Supuestos!$C$39)^(AS6-1)</f>
        <v>144703.125</v>
      </c>
      <c r="AT89" s="43" t="n">
        <f aca="false">Supuestos!$C$51*Supuestos!$C$87/Supuestos!$C$88*(1+Supuestos!$C$39)^(AT6-1)</f>
        <v>144703.125</v>
      </c>
      <c r="AU89" s="43" t="n">
        <f aca="false">Supuestos!$C$51*Supuestos!$C$87/Supuestos!$C$88*(1+Supuestos!$C$39)^(AU6-1)</f>
        <v>144703.125</v>
      </c>
      <c r="AV89" s="43" t="n">
        <f aca="false">Supuestos!$C$51*Supuestos!$C$87/Supuestos!$C$88*(1+Supuestos!$C$39)^(AV6-1)</f>
        <v>144703.125</v>
      </c>
      <c r="AW89" s="43" t="n">
        <f aca="false">Supuestos!$C$51*Supuestos!$C$87/Supuestos!$C$88*(1+Supuestos!$C$39)^(AW6-1)</f>
        <v>144703.125</v>
      </c>
      <c r="AX89" s="43" t="n">
        <f aca="false">Supuestos!$C$51*Supuestos!$C$87/Supuestos!$C$88*(1+Supuestos!$C$39)^(AX6-1)</f>
        <v>144703.125</v>
      </c>
      <c r="AY89" s="43" t="n">
        <f aca="false">Supuestos!$C$51*Supuestos!$C$87/Supuestos!$C$88*(1+Supuestos!$C$39)^(AY6-1)</f>
        <v>151938.28125</v>
      </c>
      <c r="AZ89" s="43" t="n">
        <f aca="false">Supuestos!$C$51*Supuestos!$C$87/Supuestos!$C$88*(1+Supuestos!$C$39)^(AZ6-1)</f>
        <v>151938.28125</v>
      </c>
      <c r="BA89" s="43" t="n">
        <f aca="false">Supuestos!$C$51*Supuestos!$C$87/Supuestos!$C$88*(1+Supuestos!$C$39)^(BA6-1)</f>
        <v>151938.28125</v>
      </c>
      <c r="BB89" s="43" t="n">
        <f aca="false">Supuestos!$C$51*Supuestos!$C$87/Supuestos!$C$88*(1+Supuestos!$C$39)^(BB6-1)</f>
        <v>151938.28125</v>
      </c>
      <c r="BC89" s="43" t="n">
        <f aca="false">Supuestos!$C$51*Supuestos!$C$87/Supuestos!$C$88*(1+Supuestos!$C$39)^(BC6-1)</f>
        <v>151938.28125</v>
      </c>
      <c r="BD89" s="43" t="n">
        <f aca="false">Supuestos!$C$51*Supuestos!$C$87/Supuestos!$C$88*(1+Supuestos!$C$39)^(BD6-1)</f>
        <v>151938.28125</v>
      </c>
      <c r="BE89" s="43" t="n">
        <f aca="false">Supuestos!$C$51*Supuestos!$C$87/Supuestos!$C$88*(1+Supuestos!$C$39)^(BE6-1)</f>
        <v>151938.28125</v>
      </c>
      <c r="BF89" s="43" t="n">
        <f aca="false">Supuestos!$C$51*Supuestos!$C$87/Supuestos!$C$88*(1+Supuestos!$C$39)^(BF6-1)</f>
        <v>151938.28125</v>
      </c>
      <c r="BG89" s="43" t="n">
        <f aca="false">Supuestos!$C$51*Supuestos!$C$87/Supuestos!$C$88*(1+Supuestos!$C$39)^(BG6-1)</f>
        <v>151938.28125</v>
      </c>
      <c r="BH89" s="43" t="n">
        <f aca="false">Supuestos!$C$51*Supuestos!$C$87/Supuestos!$C$88*(1+Supuestos!$C$39)^(BH6-1)</f>
        <v>151938.28125</v>
      </c>
      <c r="BI89" s="43" t="n">
        <f aca="false">Supuestos!$C$51*Supuestos!$C$87/Supuestos!$C$88*(1+Supuestos!$C$39)^(BI6-1)</f>
        <v>151938.28125</v>
      </c>
      <c r="BJ89" s="43" t="n">
        <f aca="false">Supuestos!$C$51*Supuestos!$C$87/Supuestos!$C$88*(1+Supuestos!$C$39)^(BJ6-1)</f>
        <v>151938.28125</v>
      </c>
    </row>
    <row r="90" customFormat="false" ht="15" hidden="false" customHeight="false" outlineLevel="0" collapsed="false">
      <c r="A90" s="10" t="s">
        <v>283</v>
      </c>
      <c r="B90" s="7" t="s">
        <v>146</v>
      </c>
      <c r="C90" s="43" t="n">
        <f aca="false">MAX(0,C32)*Supuestos!$C$87*(1+Supuestos!$C$39)^(C6-1)</f>
        <v>0</v>
      </c>
      <c r="D90" s="43" t="n">
        <f aca="false">MAX(0,D32-MAX($C$32:C32))*Supuestos!$C$87*(1+Supuestos!$C$39)^(D6-1)</f>
        <v>0</v>
      </c>
      <c r="E90" s="43" t="n">
        <f aca="false">MAX(0,E32-MAX($C$32:D32))*Supuestos!$C$87*(1+Supuestos!$C$39)^(E6-1)</f>
        <v>0</v>
      </c>
      <c r="F90" s="43" t="n">
        <f aca="false">MAX(0,F32-MAX($C$32:E32))*Supuestos!$C$87*(1+Supuestos!$C$39)^(F6-1)</f>
        <v>0</v>
      </c>
      <c r="G90" s="43" t="n">
        <f aca="false">MAX(0,G32-MAX($C$32:F32))*Supuestos!$C$87*(1+Supuestos!$C$39)^(G6-1)</f>
        <v>0</v>
      </c>
      <c r="H90" s="43" t="n">
        <f aca="false">MAX(0,H32-MAX($C$32:G32))*Supuestos!$C$87*(1+Supuestos!$C$39)^(H6-1)</f>
        <v>0</v>
      </c>
      <c r="I90" s="43" t="n">
        <f aca="false">MAX(0,I32-MAX($C$32:H32))*Supuestos!$C$87*(1+Supuestos!$C$39)^(I6-1)</f>
        <v>0</v>
      </c>
      <c r="J90" s="43" t="n">
        <f aca="false">MAX(0,J32-MAX($C$32:I32))*Supuestos!$C$87*(1+Supuestos!$C$39)^(J6-1)</f>
        <v>0</v>
      </c>
      <c r="K90" s="43" t="n">
        <f aca="false">MAX(0,K32-MAX($C$32:J32))*Supuestos!$C$87*(1+Supuestos!$C$39)^(K6-1)</f>
        <v>0</v>
      </c>
      <c r="L90" s="43" t="n">
        <f aca="false">MAX(0,L32-MAX($C$32:K32))*Supuestos!$C$87*(1+Supuestos!$C$39)^(L6-1)</f>
        <v>0</v>
      </c>
      <c r="M90" s="43" t="n">
        <f aca="false">MAX(0,M32-MAX($C$32:L32))*Supuestos!$C$87*(1+Supuestos!$C$39)^(M6-1)</f>
        <v>0</v>
      </c>
      <c r="N90" s="43" t="n">
        <f aca="false">MAX(0,N32-MAX($C$32:M32))*Supuestos!$C$87*(1+Supuestos!$C$39)^(N6-1)</f>
        <v>0</v>
      </c>
      <c r="O90" s="43" t="n">
        <f aca="false">MAX(0,O32-MAX($C$32:N32))*Supuestos!$C$87*(1+Supuestos!$C$39)^(O6-1)</f>
        <v>0</v>
      </c>
      <c r="P90" s="43" t="n">
        <f aca="false">MAX(0,P32-MAX($C$32:O32))*Supuestos!$C$87*(1+Supuestos!$C$39)^(P6-1)</f>
        <v>0</v>
      </c>
      <c r="Q90" s="43" t="n">
        <f aca="false">MAX(0,Q32-MAX($C$32:P32))*Supuestos!$C$87*(1+Supuestos!$C$39)^(Q6-1)</f>
        <v>0</v>
      </c>
      <c r="R90" s="43" t="n">
        <f aca="false">MAX(0,R32-MAX($C$32:Q32))*Supuestos!$C$87*(1+Supuestos!$C$39)^(R6-1)</f>
        <v>0</v>
      </c>
      <c r="S90" s="43" t="n">
        <f aca="false">MAX(0,S32-MAX($C$32:R32))*Supuestos!$C$87*(1+Supuestos!$C$39)^(S6-1)</f>
        <v>0</v>
      </c>
      <c r="T90" s="43" t="n">
        <f aca="false">MAX(0,T32-MAX($C$32:S32))*Supuestos!$C$87*(1+Supuestos!$C$39)^(T6-1)</f>
        <v>0</v>
      </c>
      <c r="U90" s="43" t="n">
        <f aca="false">MAX(0,U32-MAX($C$32:T32))*Supuestos!$C$87*(1+Supuestos!$C$39)^(U6-1)</f>
        <v>0</v>
      </c>
      <c r="V90" s="43" t="n">
        <f aca="false">MAX(0,V32-MAX($C$32:U32))*Supuestos!$C$87*(1+Supuestos!$C$39)^(V6-1)</f>
        <v>0</v>
      </c>
      <c r="W90" s="43" t="n">
        <f aca="false">MAX(0,W32-MAX($C$32:V32))*Supuestos!$C$87*(1+Supuestos!$C$39)^(W6-1)</f>
        <v>0</v>
      </c>
      <c r="X90" s="43" t="n">
        <f aca="false">MAX(0,X32-MAX($C$32:W32))*Supuestos!$C$87*(1+Supuestos!$C$39)^(X6-1)</f>
        <v>0</v>
      </c>
      <c r="Y90" s="43" t="n">
        <f aca="false">MAX(0,Y32-MAX($C$32:X32))*Supuestos!$C$87*(1+Supuestos!$C$39)^(Y6-1)</f>
        <v>0</v>
      </c>
      <c r="Z90" s="43" t="n">
        <f aca="false">MAX(0,Z32-MAX($C$32:Y32))*Supuestos!$C$87*(1+Supuestos!$C$39)^(Z6-1)</f>
        <v>0</v>
      </c>
      <c r="AA90" s="43" t="n">
        <f aca="false">MAX(0,AA32-MAX($C$32:Z32))*Supuestos!$C$87*(1+Supuestos!$C$39)^(AA6-1)</f>
        <v>0</v>
      </c>
      <c r="AB90" s="43" t="n">
        <f aca="false">MAX(0,AB32-MAX($C$32:AA32))*Supuestos!$C$87*(1+Supuestos!$C$39)^(AB6-1)</f>
        <v>0</v>
      </c>
      <c r="AC90" s="43" t="n">
        <f aca="false">MAX(0,AC32-MAX($C$32:AB32))*Supuestos!$C$87*(1+Supuestos!$C$39)^(AC6-1)</f>
        <v>0</v>
      </c>
      <c r="AD90" s="43" t="n">
        <f aca="false">MAX(0,AD32-MAX($C$32:AC32))*Supuestos!$C$87*(1+Supuestos!$C$39)^(AD6-1)</f>
        <v>0</v>
      </c>
      <c r="AE90" s="43" t="n">
        <f aca="false">MAX(0,AE32-MAX($C$32:AD32))*Supuestos!$C$87*(1+Supuestos!$C$39)^(AE6-1)</f>
        <v>0</v>
      </c>
      <c r="AF90" s="43" t="n">
        <f aca="false">MAX(0,AF32-MAX($C$32:AE32))*Supuestos!$C$87*(1+Supuestos!$C$39)^(AF6-1)</f>
        <v>0</v>
      </c>
      <c r="AG90" s="43" t="n">
        <f aca="false">MAX(0,AG32-MAX($C$32:AF32))*Supuestos!$C$87*(1+Supuestos!$C$39)^(AG6-1)</f>
        <v>0</v>
      </c>
      <c r="AH90" s="43" t="n">
        <f aca="false">MAX(0,AH32-MAX($C$32:AG32))*Supuestos!$C$87*(1+Supuestos!$C$39)^(AH6-1)</f>
        <v>0</v>
      </c>
      <c r="AI90" s="43" t="n">
        <f aca="false">MAX(0,AI32-MAX($C$32:AH32))*Supuestos!$C$87*(1+Supuestos!$C$39)^(AI6-1)</f>
        <v>0</v>
      </c>
      <c r="AJ90" s="43" t="n">
        <f aca="false">MAX(0,AJ32-MAX($C$32:AI32))*Supuestos!$C$87*(1+Supuestos!$C$39)^(AJ6-1)</f>
        <v>0</v>
      </c>
      <c r="AK90" s="43" t="n">
        <f aca="false">MAX(0,AK32-MAX($C$32:AJ32))*Supuestos!$C$87*(1+Supuestos!$C$39)^(AK6-1)</f>
        <v>0</v>
      </c>
      <c r="AL90" s="43" t="n">
        <f aca="false">MAX(0,AL32-MAX($C$32:AK32))*Supuestos!$C$87*(1+Supuestos!$C$39)^(AL6-1)</f>
        <v>0</v>
      </c>
      <c r="AM90" s="43" t="n">
        <f aca="false">MAX(0,AM32-MAX($C$32:AL32))*Supuestos!$C$87*(1+Supuestos!$C$39)^(AM6-1)</f>
        <v>0</v>
      </c>
      <c r="AN90" s="43" t="n">
        <f aca="false">MAX(0,AN32-MAX($C$32:AM32))*Supuestos!$C$87*(1+Supuestos!$C$39)^(AN6-1)</f>
        <v>0</v>
      </c>
      <c r="AO90" s="43" t="n">
        <f aca="false">MAX(0,AO32-MAX($C$32:AN32))*Supuestos!$C$87*(1+Supuestos!$C$39)^(AO6-1)</f>
        <v>0</v>
      </c>
      <c r="AP90" s="43" t="n">
        <f aca="false">MAX(0,AP32-MAX($C$32:AO32))*Supuestos!$C$87*(1+Supuestos!$C$39)^(AP6-1)</f>
        <v>0</v>
      </c>
      <c r="AQ90" s="43" t="n">
        <f aca="false">MAX(0,AQ32-MAX($C$32:AP32))*Supuestos!$C$87*(1+Supuestos!$C$39)^(AQ6-1)</f>
        <v>0</v>
      </c>
      <c r="AR90" s="43" t="n">
        <f aca="false">MAX(0,AR32-MAX($C$32:AQ32))*Supuestos!$C$87*(1+Supuestos!$C$39)^(AR6-1)</f>
        <v>0</v>
      </c>
      <c r="AS90" s="43" t="n">
        <f aca="false">MAX(0,AS32-MAX($C$32:AR32))*Supuestos!$C$87*(1+Supuestos!$C$39)^(AS6-1)</f>
        <v>0</v>
      </c>
      <c r="AT90" s="43" t="n">
        <f aca="false">MAX(0,AT32-MAX($C$32:AS32))*Supuestos!$C$87*(1+Supuestos!$C$39)^(AT6-1)</f>
        <v>0</v>
      </c>
      <c r="AU90" s="43" t="n">
        <f aca="false">MAX(0,AU32-MAX($C$32:AT32))*Supuestos!$C$87*(1+Supuestos!$C$39)^(AU6-1)</f>
        <v>0</v>
      </c>
      <c r="AV90" s="43" t="n">
        <f aca="false">MAX(0,AV32-MAX($C$32:AU32))*Supuestos!$C$87*(1+Supuestos!$C$39)^(AV6-1)</f>
        <v>0</v>
      </c>
      <c r="AW90" s="43" t="n">
        <f aca="false">MAX(0,AW32-MAX($C$32:AV32))*Supuestos!$C$87*(1+Supuestos!$C$39)^(AW6-1)</f>
        <v>0</v>
      </c>
      <c r="AX90" s="43" t="n">
        <f aca="false">MAX(0,AX32-MAX($C$32:AW32))*Supuestos!$C$87*(1+Supuestos!$C$39)^(AX6-1)</f>
        <v>0</v>
      </c>
      <c r="AY90" s="43" t="n">
        <f aca="false">MAX(0,AY32-MAX($C$32:AX32))*Supuestos!$C$87*(1+Supuestos!$C$39)^(AY6-1)</f>
        <v>0</v>
      </c>
      <c r="AZ90" s="43" t="n">
        <f aca="false">MAX(0,AZ32-MAX($C$32:AY32))*Supuestos!$C$87*(1+Supuestos!$C$39)^(AZ6-1)</f>
        <v>0</v>
      </c>
      <c r="BA90" s="43" t="n">
        <f aca="false">MAX(0,BA32-MAX($C$32:AZ32))*Supuestos!$C$87*(1+Supuestos!$C$39)^(BA6-1)</f>
        <v>0</v>
      </c>
      <c r="BB90" s="43" t="n">
        <f aca="false">MAX(0,BB32-MAX($C$32:BA32))*Supuestos!$C$87*(1+Supuestos!$C$39)^(BB6-1)</f>
        <v>3038765.625</v>
      </c>
      <c r="BC90" s="43" t="n">
        <f aca="false">MAX(0,BC32-MAX($C$32:BB32))*Supuestos!$C$87*(1+Supuestos!$C$39)^(BC6-1)</f>
        <v>0</v>
      </c>
      <c r="BD90" s="43" t="n">
        <f aca="false">MAX(0,BD32-MAX($C$32:BC32))*Supuestos!$C$87*(1+Supuestos!$C$39)^(BD6-1)</f>
        <v>0</v>
      </c>
      <c r="BE90" s="43" t="n">
        <f aca="false">MAX(0,BE32-MAX($C$32:BD32))*Supuestos!$C$87*(1+Supuestos!$C$39)^(BE6-1)</f>
        <v>0</v>
      </c>
      <c r="BF90" s="43" t="n">
        <f aca="false">MAX(0,BF32-MAX($C$32:BE32))*Supuestos!$C$87*(1+Supuestos!$C$39)^(BF6-1)</f>
        <v>0</v>
      </c>
      <c r="BG90" s="43" t="n">
        <f aca="false">MAX(0,BG32-MAX($C$32:BF32))*Supuestos!$C$87*(1+Supuestos!$C$39)^(BG6-1)</f>
        <v>0</v>
      </c>
      <c r="BH90" s="43" t="n">
        <f aca="false">MAX(0,BH32-MAX($C$32:BG32))*Supuestos!$C$87*(1+Supuestos!$C$39)^(BH6-1)</f>
        <v>0</v>
      </c>
      <c r="BI90" s="43" t="n">
        <f aca="false">MAX(0,BI32-MAX($C$32:BH32))*Supuestos!$C$87*(1+Supuestos!$C$39)^(BI6-1)</f>
        <v>0</v>
      </c>
      <c r="BJ90" s="43" t="n">
        <f aca="false">MAX(0,BJ32-MAX($C$32:BI32))*Supuestos!$C$87*(1+Supuestos!$C$39)^(BJ6-1)</f>
        <v>0</v>
      </c>
    </row>
    <row r="91" customFormat="false" ht="15" hidden="false" customHeight="false" outlineLevel="0" collapsed="false">
      <c r="A91" s="16" t="s">
        <v>284</v>
      </c>
      <c r="B91" s="7" t="s">
        <v>146</v>
      </c>
      <c r="C91" s="35" t="n">
        <f aca="false">SUM(C88:C90)</f>
        <v>170544.98</v>
      </c>
      <c r="D91" s="35" t="n">
        <f aca="false">SUM(D88:D90)</f>
        <v>170544.98</v>
      </c>
      <c r="E91" s="35" t="n">
        <f aca="false">SUM(E88:E90)</f>
        <v>170544.98</v>
      </c>
      <c r="F91" s="35" t="n">
        <f aca="false">SUM(F88:F90)</f>
        <v>170544.98</v>
      </c>
      <c r="G91" s="35" t="n">
        <f aca="false">SUM(G88:G90)</f>
        <v>170544.98</v>
      </c>
      <c r="H91" s="35" t="n">
        <f aca="false">SUM(H88:H90)</f>
        <v>170544.98</v>
      </c>
      <c r="I91" s="35" t="n">
        <f aca="false">SUM(I88:I90)</f>
        <v>170544.98</v>
      </c>
      <c r="J91" s="35" t="n">
        <f aca="false">SUM(J88:J90)</f>
        <v>170544.98</v>
      </c>
      <c r="K91" s="35" t="n">
        <f aca="false">SUM(K88:K90)</f>
        <v>170544.98</v>
      </c>
      <c r="L91" s="35" t="n">
        <f aca="false">SUM(L88:L90)</f>
        <v>170544.98</v>
      </c>
      <c r="M91" s="35" t="n">
        <f aca="false">SUM(M88:M90)</f>
        <v>170544.98</v>
      </c>
      <c r="N91" s="35" t="n">
        <f aca="false">SUM(N88:N90)</f>
        <v>170544.98</v>
      </c>
      <c r="O91" s="35" t="n">
        <f aca="false">SUM(O88:O90)</f>
        <v>202983.3435</v>
      </c>
      <c r="P91" s="35" t="n">
        <f aca="false">SUM(P88:P90)</f>
        <v>202983.3435</v>
      </c>
      <c r="Q91" s="35" t="n">
        <f aca="false">SUM(Q88:Q90)</f>
        <v>202983.3435</v>
      </c>
      <c r="R91" s="35" t="n">
        <f aca="false">SUM(R88:R90)</f>
        <v>202983.3435</v>
      </c>
      <c r="S91" s="35" t="n">
        <f aca="false">SUM(S88:S90)</f>
        <v>202983.3435</v>
      </c>
      <c r="T91" s="35" t="n">
        <f aca="false">SUM(T88:T90)</f>
        <v>202983.3435</v>
      </c>
      <c r="U91" s="35" t="n">
        <f aca="false">SUM(U88:U90)</f>
        <v>202983.3435</v>
      </c>
      <c r="V91" s="35" t="n">
        <f aca="false">SUM(V88:V90)</f>
        <v>202983.3435</v>
      </c>
      <c r="W91" s="35" t="n">
        <f aca="false">SUM(W88:W90)</f>
        <v>202983.3435</v>
      </c>
      <c r="X91" s="35" t="n">
        <f aca="false">SUM(X88:X90)</f>
        <v>202983.3435</v>
      </c>
      <c r="Y91" s="35" t="n">
        <f aca="false">SUM(Y88:Y90)</f>
        <v>202983.3435</v>
      </c>
      <c r="Z91" s="35" t="n">
        <f aca="false">SUM(Z88:Z90)</f>
        <v>202983.3435</v>
      </c>
      <c r="AA91" s="35" t="n">
        <f aca="false">SUM(AA88:AA90)</f>
        <v>238239.1809</v>
      </c>
      <c r="AB91" s="35" t="n">
        <f aca="false">SUM(AB88:AB90)</f>
        <v>238239.1809</v>
      </c>
      <c r="AC91" s="35" t="n">
        <f aca="false">SUM(AC88:AC90)</f>
        <v>238239.1809</v>
      </c>
      <c r="AD91" s="35" t="n">
        <f aca="false">SUM(AD88:AD90)</f>
        <v>238239.1809</v>
      </c>
      <c r="AE91" s="35" t="n">
        <f aca="false">SUM(AE88:AE90)</f>
        <v>238239.1809</v>
      </c>
      <c r="AF91" s="35" t="n">
        <f aca="false">SUM(AF88:AF90)</f>
        <v>238239.1809</v>
      </c>
      <c r="AG91" s="35" t="n">
        <f aca="false">SUM(AG88:AG90)</f>
        <v>238239.1809</v>
      </c>
      <c r="AH91" s="35" t="n">
        <f aca="false">SUM(AH88:AH90)</f>
        <v>238239.1809</v>
      </c>
      <c r="AI91" s="35" t="n">
        <f aca="false">SUM(AI88:AI90)</f>
        <v>238239.1809</v>
      </c>
      <c r="AJ91" s="35" t="n">
        <f aca="false">SUM(AJ88:AJ90)</f>
        <v>238239.1809</v>
      </c>
      <c r="AK91" s="35" t="n">
        <f aca="false">SUM(AK88:AK90)</f>
        <v>238239.1809</v>
      </c>
      <c r="AL91" s="35" t="n">
        <f aca="false">SUM(AL88:AL90)</f>
        <v>238239.1809</v>
      </c>
      <c r="AM91" s="35" t="n">
        <f aca="false">SUM(AM88:AM90)</f>
        <v>144703.125</v>
      </c>
      <c r="AN91" s="35" t="n">
        <f aca="false">SUM(AN88:AN90)</f>
        <v>144703.125</v>
      </c>
      <c r="AO91" s="35" t="n">
        <f aca="false">SUM(AO88:AO90)</f>
        <v>144703.125</v>
      </c>
      <c r="AP91" s="35" t="n">
        <f aca="false">SUM(AP88:AP90)</f>
        <v>144703.125</v>
      </c>
      <c r="AQ91" s="35" t="n">
        <f aca="false">SUM(AQ88:AQ90)</f>
        <v>144703.125</v>
      </c>
      <c r="AR91" s="35" t="n">
        <f aca="false">SUM(AR88:AR90)</f>
        <v>144703.125</v>
      </c>
      <c r="AS91" s="35" t="n">
        <f aca="false">SUM(AS88:AS90)</f>
        <v>144703.125</v>
      </c>
      <c r="AT91" s="35" t="n">
        <f aca="false">SUM(AT88:AT90)</f>
        <v>144703.125</v>
      </c>
      <c r="AU91" s="35" t="n">
        <f aca="false">SUM(AU88:AU90)</f>
        <v>144703.125</v>
      </c>
      <c r="AV91" s="35" t="n">
        <f aca="false">SUM(AV88:AV90)</f>
        <v>144703.125</v>
      </c>
      <c r="AW91" s="35" t="n">
        <f aca="false">SUM(AW88:AW90)</f>
        <v>144703.125</v>
      </c>
      <c r="AX91" s="35" t="n">
        <f aca="false">SUM(AX88:AX90)</f>
        <v>144703.125</v>
      </c>
      <c r="AY91" s="35" t="n">
        <f aca="false">SUM(AY88:AY90)</f>
        <v>151938.28125</v>
      </c>
      <c r="AZ91" s="35" t="n">
        <f aca="false">SUM(AZ88:AZ90)</f>
        <v>151938.28125</v>
      </c>
      <c r="BA91" s="35" t="n">
        <f aca="false">SUM(BA88:BA90)</f>
        <v>151938.28125</v>
      </c>
      <c r="BB91" s="35" t="n">
        <f aca="false">SUM(BB88:BB90)</f>
        <v>3190703.90625</v>
      </c>
      <c r="BC91" s="35" t="n">
        <f aca="false">SUM(BC88:BC90)</f>
        <v>151938.28125</v>
      </c>
      <c r="BD91" s="35" t="n">
        <f aca="false">SUM(BD88:BD90)</f>
        <v>151938.28125</v>
      </c>
      <c r="BE91" s="35" t="n">
        <f aca="false">SUM(BE88:BE90)</f>
        <v>151938.28125</v>
      </c>
      <c r="BF91" s="35" t="n">
        <f aca="false">SUM(BF88:BF90)</f>
        <v>151938.28125</v>
      </c>
      <c r="BG91" s="35" t="n">
        <f aca="false">SUM(BG88:BG90)</f>
        <v>151938.28125</v>
      </c>
      <c r="BH91" s="35" t="n">
        <f aca="false">SUM(BH88:BH90)</f>
        <v>151938.28125</v>
      </c>
      <c r="BI91" s="35" t="n">
        <f aca="false">SUM(BI88:BI90)</f>
        <v>151938.28125</v>
      </c>
      <c r="BJ91" s="35" t="n">
        <f aca="false">SUM(BJ88:BJ90)</f>
        <v>151938.28125</v>
      </c>
    </row>
    <row r="93" customFormat="false" ht="15" hidden="false" customHeight="false" outlineLevel="0" collapsed="false">
      <c r="A93" s="10" t="s">
        <v>285</v>
      </c>
      <c r="C93" s="41" t="n">
        <f aca="false">SUMIF($C$6:$BJ$6,1,$C$91:$BJ$91)/1000000</f>
        <v>2.04653976</v>
      </c>
      <c r="D93" s="41" t="n">
        <f aca="false">SUMIF($C$6:$BJ$6,2,$C$91:$BJ$91)/1000000</f>
        <v>2.435800122</v>
      </c>
      <c r="E93" s="41" t="n">
        <f aca="false">SUMIF($C$6:$BJ$6,3,$C$91:$BJ$91)/1000000</f>
        <v>2.8588701708</v>
      </c>
      <c r="F93" s="41" t="n">
        <f aca="false">SUMIF($C$6:$BJ$6,4,$C$91:$BJ$91)/1000000</f>
        <v>1.7364375</v>
      </c>
      <c r="G93" s="41" t="n">
        <f aca="false">SUMIF($C$6:$BJ$6,5,$C$91:$BJ$91)/1000000</f>
        <v>4.862025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62" min="3" style="1" width="12"/>
  </cols>
  <sheetData>
    <row r="1" customFormat="false" ht="17.25" hidden="false" customHeight="true" outlineLevel="0" collapsed="false">
      <c r="A1" s="6" t="s">
        <v>286</v>
      </c>
    </row>
    <row r="2" customFormat="false" ht="15" hidden="false" customHeight="true" outlineLevel="0" collapsed="false">
      <c r="A2" s="10" t="s">
        <v>237</v>
      </c>
      <c r="B2" s="10" t="n">
        <v>2</v>
      </c>
    </row>
    <row r="3" customFormat="false" ht="15" hidden="false" customHeight="true" outlineLevel="0" collapsed="false">
      <c r="A3" s="7" t="s">
        <v>238</v>
      </c>
    </row>
    <row r="5" customFormat="false" ht="15" hidden="false" customHeight="true" outlineLevel="0" collapsed="false">
      <c r="A5" s="28" t="s">
        <v>54</v>
      </c>
      <c r="B5" s="37"/>
      <c r="C5" s="38" t="n">
        <v>1</v>
      </c>
      <c r="D5" s="38" t="n">
        <v>2</v>
      </c>
      <c r="E5" s="38" t="n">
        <v>3</v>
      </c>
      <c r="F5" s="38" t="n">
        <v>4</v>
      </c>
      <c r="G5" s="38" t="n">
        <v>5</v>
      </c>
      <c r="H5" s="38" t="n">
        <v>6</v>
      </c>
      <c r="I5" s="38" t="n">
        <v>7</v>
      </c>
      <c r="J5" s="38" t="n">
        <v>8</v>
      </c>
      <c r="K5" s="38" t="n">
        <v>9</v>
      </c>
      <c r="L5" s="38" t="n">
        <v>10</v>
      </c>
      <c r="M5" s="38" t="n">
        <v>11</v>
      </c>
      <c r="N5" s="38" t="n">
        <v>12</v>
      </c>
      <c r="O5" s="38" t="n">
        <v>13</v>
      </c>
      <c r="P5" s="38" t="n">
        <v>14</v>
      </c>
      <c r="Q5" s="38" t="n">
        <v>15</v>
      </c>
      <c r="R5" s="38" t="n">
        <v>16</v>
      </c>
      <c r="S5" s="38" t="n">
        <v>17</v>
      </c>
      <c r="T5" s="38" t="n">
        <v>18</v>
      </c>
      <c r="U5" s="38" t="n">
        <v>19</v>
      </c>
      <c r="V5" s="38" t="n">
        <v>20</v>
      </c>
      <c r="W5" s="38" t="n">
        <v>21</v>
      </c>
      <c r="X5" s="38" t="n">
        <v>22</v>
      </c>
      <c r="Y5" s="38" t="n">
        <v>23</v>
      </c>
      <c r="Z5" s="38" t="n">
        <v>24</v>
      </c>
      <c r="AA5" s="38" t="n">
        <v>25</v>
      </c>
      <c r="AB5" s="38" t="n">
        <v>26</v>
      </c>
      <c r="AC5" s="38" t="n">
        <v>27</v>
      </c>
      <c r="AD5" s="38" t="n">
        <v>28</v>
      </c>
      <c r="AE5" s="38" t="n">
        <v>29</v>
      </c>
      <c r="AF5" s="38" t="n">
        <v>30</v>
      </c>
      <c r="AG5" s="38" t="n">
        <v>31</v>
      </c>
      <c r="AH5" s="38" t="n">
        <v>32</v>
      </c>
      <c r="AI5" s="38" t="n">
        <v>33</v>
      </c>
      <c r="AJ5" s="38" t="n">
        <v>34</v>
      </c>
      <c r="AK5" s="38" t="n">
        <v>35</v>
      </c>
      <c r="AL5" s="38" t="n">
        <v>36</v>
      </c>
      <c r="AM5" s="38" t="n">
        <v>37</v>
      </c>
      <c r="AN5" s="38" t="n">
        <v>38</v>
      </c>
      <c r="AO5" s="38" t="n">
        <v>39</v>
      </c>
      <c r="AP5" s="38" t="n">
        <v>40</v>
      </c>
      <c r="AQ5" s="38" t="n">
        <v>41</v>
      </c>
      <c r="AR5" s="38" t="n">
        <v>42</v>
      </c>
      <c r="AS5" s="38" t="n">
        <v>43</v>
      </c>
      <c r="AT5" s="38" t="n">
        <v>44</v>
      </c>
      <c r="AU5" s="38" t="n">
        <v>45</v>
      </c>
      <c r="AV5" s="38" t="n">
        <v>46</v>
      </c>
      <c r="AW5" s="38" t="n">
        <v>47</v>
      </c>
      <c r="AX5" s="38" t="n">
        <v>48</v>
      </c>
      <c r="AY5" s="38" t="n">
        <v>49</v>
      </c>
      <c r="AZ5" s="38" t="n">
        <v>50</v>
      </c>
      <c r="BA5" s="38" t="n">
        <v>51</v>
      </c>
      <c r="BB5" s="38" t="n">
        <v>52</v>
      </c>
      <c r="BC5" s="38" t="n">
        <v>53</v>
      </c>
      <c r="BD5" s="38" t="n">
        <v>54</v>
      </c>
      <c r="BE5" s="38" t="n">
        <v>55</v>
      </c>
      <c r="BF5" s="38" t="n">
        <v>56</v>
      </c>
      <c r="BG5" s="38" t="n">
        <v>57</v>
      </c>
      <c r="BH5" s="38" t="n">
        <v>58</v>
      </c>
      <c r="BI5" s="38" t="n">
        <v>59</v>
      </c>
      <c r="BJ5" s="38" t="n">
        <v>60</v>
      </c>
    </row>
    <row r="6" customFormat="false" ht="15" hidden="false" customHeight="true" outlineLevel="0" collapsed="false">
      <c r="A6" s="10" t="s">
        <v>239</v>
      </c>
      <c r="B6" s="7"/>
      <c r="C6" s="39" t="n">
        <f aca="false">ROUNDUP(C5/12,0)</f>
        <v>1</v>
      </c>
      <c r="D6" s="39" t="n">
        <f aca="false">ROUNDUP(D5/12,0)</f>
        <v>1</v>
      </c>
      <c r="E6" s="39" t="n">
        <f aca="false">ROUNDUP(E5/12,0)</f>
        <v>1</v>
      </c>
      <c r="F6" s="39" t="n">
        <f aca="false">ROUNDUP(F5/12,0)</f>
        <v>1</v>
      </c>
      <c r="G6" s="39" t="n">
        <f aca="false">ROUNDUP(G5/12,0)</f>
        <v>1</v>
      </c>
      <c r="H6" s="39" t="n">
        <f aca="false">ROUNDUP(H5/12,0)</f>
        <v>1</v>
      </c>
      <c r="I6" s="39" t="n">
        <f aca="false">ROUNDUP(I5/12,0)</f>
        <v>1</v>
      </c>
      <c r="J6" s="39" t="n">
        <f aca="false">ROUNDUP(J5/12,0)</f>
        <v>1</v>
      </c>
      <c r="K6" s="39" t="n">
        <f aca="false">ROUNDUP(K5/12,0)</f>
        <v>1</v>
      </c>
      <c r="L6" s="39" t="n">
        <f aca="false">ROUNDUP(L5/12,0)</f>
        <v>1</v>
      </c>
      <c r="M6" s="39" t="n">
        <f aca="false">ROUNDUP(M5/12,0)</f>
        <v>1</v>
      </c>
      <c r="N6" s="39" t="n">
        <f aca="false">ROUNDUP(N5/12,0)</f>
        <v>1</v>
      </c>
      <c r="O6" s="39" t="n">
        <f aca="false">ROUNDUP(O5/12,0)</f>
        <v>2</v>
      </c>
      <c r="P6" s="39" t="n">
        <f aca="false">ROUNDUP(P5/12,0)</f>
        <v>2</v>
      </c>
      <c r="Q6" s="39" t="n">
        <f aca="false">ROUNDUP(Q5/12,0)</f>
        <v>2</v>
      </c>
      <c r="R6" s="39" t="n">
        <f aca="false">ROUNDUP(R5/12,0)</f>
        <v>2</v>
      </c>
      <c r="S6" s="39" t="n">
        <f aca="false">ROUNDUP(S5/12,0)</f>
        <v>2</v>
      </c>
      <c r="T6" s="39" t="n">
        <f aca="false">ROUNDUP(T5/12,0)</f>
        <v>2</v>
      </c>
      <c r="U6" s="39" t="n">
        <f aca="false">ROUNDUP(U5/12,0)</f>
        <v>2</v>
      </c>
      <c r="V6" s="39" t="n">
        <f aca="false">ROUNDUP(V5/12,0)</f>
        <v>2</v>
      </c>
      <c r="W6" s="39" t="n">
        <f aca="false">ROUNDUP(W5/12,0)</f>
        <v>2</v>
      </c>
      <c r="X6" s="39" t="n">
        <f aca="false">ROUNDUP(X5/12,0)</f>
        <v>2</v>
      </c>
      <c r="Y6" s="39" t="n">
        <f aca="false">ROUNDUP(Y5/12,0)</f>
        <v>2</v>
      </c>
      <c r="Z6" s="39" t="n">
        <f aca="false">ROUNDUP(Z5/12,0)</f>
        <v>2</v>
      </c>
      <c r="AA6" s="39" t="n">
        <f aca="false">ROUNDUP(AA5/12,0)</f>
        <v>3</v>
      </c>
      <c r="AB6" s="39" t="n">
        <f aca="false">ROUNDUP(AB5/12,0)</f>
        <v>3</v>
      </c>
      <c r="AC6" s="39" t="n">
        <f aca="false">ROUNDUP(AC5/12,0)</f>
        <v>3</v>
      </c>
      <c r="AD6" s="39" t="n">
        <f aca="false">ROUNDUP(AD5/12,0)</f>
        <v>3</v>
      </c>
      <c r="AE6" s="39" t="n">
        <f aca="false">ROUNDUP(AE5/12,0)</f>
        <v>3</v>
      </c>
      <c r="AF6" s="39" t="n">
        <f aca="false">ROUNDUP(AF5/12,0)</f>
        <v>3</v>
      </c>
      <c r="AG6" s="39" t="n">
        <f aca="false">ROUNDUP(AG5/12,0)</f>
        <v>3</v>
      </c>
      <c r="AH6" s="39" t="n">
        <f aca="false">ROUNDUP(AH5/12,0)</f>
        <v>3</v>
      </c>
      <c r="AI6" s="39" t="n">
        <f aca="false">ROUNDUP(AI5/12,0)</f>
        <v>3</v>
      </c>
      <c r="AJ6" s="39" t="n">
        <f aca="false">ROUNDUP(AJ5/12,0)</f>
        <v>3</v>
      </c>
      <c r="AK6" s="39" t="n">
        <f aca="false">ROUNDUP(AK5/12,0)</f>
        <v>3</v>
      </c>
      <c r="AL6" s="39" t="n">
        <f aca="false">ROUNDUP(AL5/12,0)</f>
        <v>3</v>
      </c>
      <c r="AM6" s="39" t="n">
        <f aca="false">ROUNDUP(AM5/12,0)</f>
        <v>4</v>
      </c>
      <c r="AN6" s="39" t="n">
        <f aca="false">ROUNDUP(AN5/12,0)</f>
        <v>4</v>
      </c>
      <c r="AO6" s="39" t="n">
        <f aca="false">ROUNDUP(AO5/12,0)</f>
        <v>4</v>
      </c>
      <c r="AP6" s="39" t="n">
        <f aca="false">ROUNDUP(AP5/12,0)</f>
        <v>4</v>
      </c>
      <c r="AQ6" s="39" t="n">
        <f aca="false">ROUNDUP(AQ5/12,0)</f>
        <v>4</v>
      </c>
      <c r="AR6" s="39" t="n">
        <f aca="false">ROUNDUP(AR5/12,0)</f>
        <v>4</v>
      </c>
      <c r="AS6" s="39" t="n">
        <f aca="false">ROUNDUP(AS5/12,0)</f>
        <v>4</v>
      </c>
      <c r="AT6" s="39" t="n">
        <f aca="false">ROUNDUP(AT5/12,0)</f>
        <v>4</v>
      </c>
      <c r="AU6" s="39" t="n">
        <f aca="false">ROUNDUP(AU5/12,0)</f>
        <v>4</v>
      </c>
      <c r="AV6" s="39" t="n">
        <f aca="false">ROUNDUP(AV5/12,0)</f>
        <v>4</v>
      </c>
      <c r="AW6" s="39" t="n">
        <f aca="false">ROUNDUP(AW5/12,0)</f>
        <v>4</v>
      </c>
      <c r="AX6" s="39" t="n">
        <f aca="false">ROUNDUP(AX5/12,0)</f>
        <v>4</v>
      </c>
      <c r="AY6" s="39" t="n">
        <f aca="false">ROUNDUP(AY5/12,0)</f>
        <v>5</v>
      </c>
      <c r="AZ6" s="39" t="n">
        <f aca="false">ROUNDUP(AZ5/12,0)</f>
        <v>5</v>
      </c>
      <c r="BA6" s="39" t="n">
        <f aca="false">ROUNDUP(BA5/12,0)</f>
        <v>5</v>
      </c>
      <c r="BB6" s="39" t="n">
        <f aca="false">ROUNDUP(BB5/12,0)</f>
        <v>5</v>
      </c>
      <c r="BC6" s="39" t="n">
        <f aca="false">ROUNDUP(BC5/12,0)</f>
        <v>5</v>
      </c>
      <c r="BD6" s="39" t="n">
        <f aca="false">ROUNDUP(BD5/12,0)</f>
        <v>5</v>
      </c>
      <c r="BE6" s="39" t="n">
        <f aca="false">ROUNDUP(BE5/12,0)</f>
        <v>5</v>
      </c>
      <c r="BF6" s="39" t="n">
        <f aca="false">ROUNDUP(BF5/12,0)</f>
        <v>5</v>
      </c>
      <c r="BG6" s="39" t="n">
        <f aca="false">ROUNDUP(BG5/12,0)</f>
        <v>5</v>
      </c>
      <c r="BH6" s="39" t="n">
        <f aca="false">ROUNDUP(BH5/12,0)</f>
        <v>5</v>
      </c>
      <c r="BI6" s="39" t="n">
        <f aca="false">ROUNDUP(BI5/12,0)</f>
        <v>5</v>
      </c>
      <c r="BJ6" s="39" t="n">
        <f aca="false">ROUNDUP(BJ5/12,0)</f>
        <v>5</v>
      </c>
    </row>
    <row r="7" customFormat="false" ht="15" hidden="false" customHeight="true" outlineLevel="0" collapsed="false">
      <c r="A7" s="10" t="s">
        <v>240</v>
      </c>
      <c r="B7" s="7"/>
      <c r="C7" s="39" t="n">
        <f aca="false">C5-(C6-1)*12</f>
        <v>1</v>
      </c>
      <c r="D7" s="39" t="n">
        <f aca="false">D5-(D6-1)*12</f>
        <v>2</v>
      </c>
      <c r="E7" s="39" t="n">
        <f aca="false">E5-(E6-1)*12</f>
        <v>3</v>
      </c>
      <c r="F7" s="39" t="n">
        <f aca="false">F5-(F6-1)*12</f>
        <v>4</v>
      </c>
      <c r="G7" s="39" t="n">
        <f aca="false">G5-(G6-1)*12</f>
        <v>5</v>
      </c>
      <c r="H7" s="39" t="n">
        <f aca="false">H5-(H6-1)*12</f>
        <v>6</v>
      </c>
      <c r="I7" s="39" t="n">
        <f aca="false">I5-(I6-1)*12</f>
        <v>7</v>
      </c>
      <c r="J7" s="39" t="n">
        <f aca="false">J5-(J6-1)*12</f>
        <v>8</v>
      </c>
      <c r="K7" s="39" t="n">
        <f aca="false">K5-(K6-1)*12</f>
        <v>9</v>
      </c>
      <c r="L7" s="39" t="n">
        <f aca="false">L5-(L6-1)*12</f>
        <v>10</v>
      </c>
      <c r="M7" s="39" t="n">
        <f aca="false">M5-(M6-1)*12</f>
        <v>11</v>
      </c>
      <c r="N7" s="39" t="n">
        <f aca="false">N5-(N6-1)*12</f>
        <v>12</v>
      </c>
      <c r="O7" s="39" t="n">
        <f aca="false">O5-(O6-1)*12</f>
        <v>1</v>
      </c>
      <c r="P7" s="39" t="n">
        <f aca="false">P5-(P6-1)*12</f>
        <v>2</v>
      </c>
      <c r="Q7" s="39" t="n">
        <f aca="false">Q5-(Q6-1)*12</f>
        <v>3</v>
      </c>
      <c r="R7" s="39" t="n">
        <f aca="false">R5-(R6-1)*12</f>
        <v>4</v>
      </c>
      <c r="S7" s="39" t="n">
        <f aca="false">S5-(S6-1)*12</f>
        <v>5</v>
      </c>
      <c r="T7" s="39" t="n">
        <f aca="false">T5-(T6-1)*12</f>
        <v>6</v>
      </c>
      <c r="U7" s="39" t="n">
        <f aca="false">U5-(U6-1)*12</f>
        <v>7</v>
      </c>
      <c r="V7" s="39" t="n">
        <f aca="false">V5-(V6-1)*12</f>
        <v>8</v>
      </c>
      <c r="W7" s="39" t="n">
        <f aca="false">W5-(W6-1)*12</f>
        <v>9</v>
      </c>
      <c r="X7" s="39" t="n">
        <f aca="false">X5-(X6-1)*12</f>
        <v>10</v>
      </c>
      <c r="Y7" s="39" t="n">
        <f aca="false">Y5-(Y6-1)*12</f>
        <v>11</v>
      </c>
      <c r="Z7" s="39" t="n">
        <f aca="false">Z5-(Z6-1)*12</f>
        <v>12</v>
      </c>
      <c r="AA7" s="39" t="n">
        <f aca="false">AA5-(AA6-1)*12</f>
        <v>1</v>
      </c>
      <c r="AB7" s="39" t="n">
        <f aca="false">AB5-(AB6-1)*12</f>
        <v>2</v>
      </c>
      <c r="AC7" s="39" t="n">
        <f aca="false">AC5-(AC6-1)*12</f>
        <v>3</v>
      </c>
      <c r="AD7" s="39" t="n">
        <f aca="false">AD5-(AD6-1)*12</f>
        <v>4</v>
      </c>
      <c r="AE7" s="39" t="n">
        <f aca="false">AE5-(AE6-1)*12</f>
        <v>5</v>
      </c>
      <c r="AF7" s="39" t="n">
        <f aca="false">AF5-(AF6-1)*12</f>
        <v>6</v>
      </c>
      <c r="AG7" s="39" t="n">
        <f aca="false">AG5-(AG6-1)*12</f>
        <v>7</v>
      </c>
      <c r="AH7" s="39" t="n">
        <f aca="false">AH5-(AH6-1)*12</f>
        <v>8</v>
      </c>
      <c r="AI7" s="39" t="n">
        <f aca="false">AI5-(AI6-1)*12</f>
        <v>9</v>
      </c>
      <c r="AJ7" s="39" t="n">
        <f aca="false">AJ5-(AJ6-1)*12</f>
        <v>10</v>
      </c>
      <c r="AK7" s="39" t="n">
        <f aca="false">AK5-(AK6-1)*12</f>
        <v>11</v>
      </c>
      <c r="AL7" s="39" t="n">
        <f aca="false">AL5-(AL6-1)*12</f>
        <v>12</v>
      </c>
      <c r="AM7" s="39" t="n">
        <f aca="false">AM5-(AM6-1)*12</f>
        <v>1</v>
      </c>
      <c r="AN7" s="39" t="n">
        <f aca="false">AN5-(AN6-1)*12</f>
        <v>2</v>
      </c>
      <c r="AO7" s="39" t="n">
        <f aca="false">AO5-(AO6-1)*12</f>
        <v>3</v>
      </c>
      <c r="AP7" s="39" t="n">
        <f aca="false">AP5-(AP6-1)*12</f>
        <v>4</v>
      </c>
      <c r="AQ7" s="39" t="n">
        <f aca="false">AQ5-(AQ6-1)*12</f>
        <v>5</v>
      </c>
      <c r="AR7" s="39" t="n">
        <f aca="false">AR5-(AR6-1)*12</f>
        <v>6</v>
      </c>
      <c r="AS7" s="39" t="n">
        <f aca="false">AS5-(AS6-1)*12</f>
        <v>7</v>
      </c>
      <c r="AT7" s="39" t="n">
        <f aca="false">AT5-(AT6-1)*12</f>
        <v>8</v>
      </c>
      <c r="AU7" s="39" t="n">
        <f aca="false">AU5-(AU6-1)*12</f>
        <v>9</v>
      </c>
      <c r="AV7" s="39" t="n">
        <f aca="false">AV5-(AV6-1)*12</f>
        <v>10</v>
      </c>
      <c r="AW7" s="39" t="n">
        <f aca="false">AW5-(AW6-1)*12</f>
        <v>11</v>
      </c>
      <c r="AX7" s="39" t="n">
        <f aca="false">AX5-(AX6-1)*12</f>
        <v>12</v>
      </c>
      <c r="AY7" s="39" t="n">
        <f aca="false">AY5-(AY6-1)*12</f>
        <v>1</v>
      </c>
      <c r="AZ7" s="39" t="n">
        <f aca="false">AZ5-(AZ6-1)*12</f>
        <v>2</v>
      </c>
      <c r="BA7" s="39" t="n">
        <f aca="false">BA5-(BA6-1)*12</f>
        <v>3</v>
      </c>
      <c r="BB7" s="39" t="n">
        <f aca="false">BB5-(BB6-1)*12</f>
        <v>4</v>
      </c>
      <c r="BC7" s="39" t="n">
        <f aca="false">BC5-(BC6-1)*12</f>
        <v>5</v>
      </c>
      <c r="BD7" s="39" t="n">
        <f aca="false">BD5-(BD6-1)*12</f>
        <v>6</v>
      </c>
      <c r="BE7" s="39" t="n">
        <f aca="false">BE5-(BE6-1)*12</f>
        <v>7</v>
      </c>
      <c r="BF7" s="39" t="n">
        <f aca="false">BF5-(BF6-1)*12</f>
        <v>8</v>
      </c>
      <c r="BG7" s="39" t="n">
        <f aca="false">BG5-(BG6-1)*12</f>
        <v>9</v>
      </c>
      <c r="BH7" s="39" t="n">
        <f aca="false">BH5-(BH6-1)*12</f>
        <v>10</v>
      </c>
      <c r="BI7" s="39" t="n">
        <f aca="false">BI5-(BI6-1)*12</f>
        <v>11</v>
      </c>
      <c r="BJ7" s="39" t="n">
        <f aca="false">BJ5-(BJ6-1)*12</f>
        <v>12</v>
      </c>
    </row>
    <row r="9" customFormat="false" ht="15" hidden="false" customHeight="true" outlineLevel="0" collapsed="false">
      <c r="A9" s="28" t="s">
        <v>241</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row>
    <row r="10" customFormat="false" ht="15" hidden="false" customHeight="true" outlineLevel="0" collapsed="false">
      <c r="A10" s="10" t="s">
        <v>242</v>
      </c>
      <c r="B10" s="7" t="s">
        <v>73</v>
      </c>
      <c r="C10" s="41" t="n">
        <f aca="false">IF(C6=1,INDEX(Supuestos!$C$22:$N$22,1,C7)*INDEX(Supuestos!$C$11:$E$11,1,$B$2),IF(C6=2,INDEX(Supuestos!$C$11:$E$11,1,$B$2),IF(C6=3,INDEX(Supuestos!$C$12:$E$12,1,$B$2),IF(C6=4,INDEX(Supuestos!$C$13:$E$13,1,$B$2),INDEX(Supuestos!$C$14:$E$14,1,$B$2))))+(IF(C6=2,INDEX(Supuestos!$C$12:$E$12,1,$B$2),IF(C6=3,INDEX(Supuestos!$C$13:$E$13,1,$B$2),IF(C6=4,INDEX(Supuestos!$C$14:$E$14,1,$B$2),INDEX(Supuestos!$C$15:$E$15,1,$B$2))))-IF(C6=2,INDEX(Supuestos!$C$11:$E$11,1,$B$2),IF(C6=3,INDEX(Supuestos!$C$12:$E$12,1,$B$2),IF(C6=4,INDEX(Supuestos!$C$13:$E$13,1,$B$2),INDEX(Supuestos!$C$14:$E$14,1,$B$2)))))*C7/12)</f>
        <v>9.996</v>
      </c>
      <c r="D10" s="41" t="n">
        <f aca="false">IF(D6=1,INDEX(Supuestos!$C$22:$N$22,1,D7)*INDEX(Supuestos!$C$11:$E$11,1,$B$2),IF(D6=2,INDEX(Supuestos!$C$11:$E$11,1,$B$2),IF(D6=3,INDEX(Supuestos!$C$12:$E$12,1,$B$2),IF(D6=4,INDEX(Supuestos!$C$13:$E$13,1,$B$2),INDEX(Supuestos!$C$14:$E$14,1,$B$2))))+(IF(D6=2,INDEX(Supuestos!$C$12:$E$12,1,$B$2),IF(D6=3,INDEX(Supuestos!$C$13:$E$13,1,$B$2),IF(D6=4,INDEX(Supuestos!$C$14:$E$14,1,$B$2),INDEX(Supuestos!$C$15:$E$15,1,$B$2))))-IF(D6=2,INDEX(Supuestos!$C$11:$E$11,1,$B$2),IF(D6=3,INDEX(Supuestos!$C$12:$E$12,1,$B$2),IF(D6=4,INDEX(Supuestos!$C$13:$E$13,1,$B$2),INDEX(Supuestos!$C$14:$E$14,1,$B$2)))))*D7/12)</f>
        <v>15</v>
      </c>
      <c r="E10" s="41" t="n">
        <f aca="false">IF(E6=1,INDEX(Supuestos!$C$22:$N$22,1,E7)*INDEX(Supuestos!$C$11:$E$11,1,$B$2),IF(E6=2,INDEX(Supuestos!$C$11:$E$11,1,$B$2),IF(E6=3,INDEX(Supuestos!$C$12:$E$12,1,$B$2),IF(E6=4,INDEX(Supuestos!$C$13:$E$13,1,$B$2),INDEX(Supuestos!$C$14:$E$14,1,$B$2))))+(IF(E6=2,INDEX(Supuestos!$C$12:$E$12,1,$B$2),IF(E6=3,INDEX(Supuestos!$C$13:$E$13,1,$B$2),IF(E6=4,INDEX(Supuestos!$C$14:$E$14,1,$B$2),INDEX(Supuestos!$C$15:$E$15,1,$B$2))))-IF(E6=2,INDEX(Supuestos!$C$11:$E$11,1,$B$2),IF(E6=3,INDEX(Supuestos!$C$12:$E$12,1,$B$2),IF(E6=4,INDEX(Supuestos!$C$13:$E$13,1,$B$2),INDEX(Supuestos!$C$14:$E$14,1,$B$2)))))*E7/12)</f>
        <v>24.996</v>
      </c>
      <c r="F10" s="41" t="n">
        <f aca="false">IF(F6=1,INDEX(Supuestos!$C$22:$N$22,1,F7)*INDEX(Supuestos!$C$11:$E$11,1,$B$2),IF(F6=2,INDEX(Supuestos!$C$11:$E$11,1,$B$2),IF(F6=3,INDEX(Supuestos!$C$12:$E$12,1,$B$2),IF(F6=4,INDEX(Supuestos!$C$13:$E$13,1,$B$2),INDEX(Supuestos!$C$14:$E$14,1,$B$2))))+(IF(F6=2,INDEX(Supuestos!$C$12:$E$12,1,$B$2),IF(F6=3,INDEX(Supuestos!$C$13:$E$13,1,$B$2),IF(F6=4,INDEX(Supuestos!$C$14:$E$14,1,$B$2),INDEX(Supuestos!$C$15:$E$15,1,$B$2))))-IF(F6=2,INDEX(Supuestos!$C$11:$E$11,1,$B$2),IF(F6=3,INDEX(Supuestos!$C$12:$E$12,1,$B$2),IF(F6=4,INDEX(Supuestos!$C$13:$E$13,1,$B$2),INDEX(Supuestos!$C$14:$E$14,1,$B$2)))))*F7/12)</f>
        <v>35.004</v>
      </c>
      <c r="G10" s="41" t="n">
        <f aca="false">IF(G6=1,INDEX(Supuestos!$C$22:$N$22,1,G7)*INDEX(Supuestos!$C$11:$E$11,1,$B$2),IF(G6=2,INDEX(Supuestos!$C$11:$E$11,1,$B$2),IF(G6=3,INDEX(Supuestos!$C$12:$E$12,1,$B$2),IF(G6=4,INDEX(Supuestos!$C$13:$E$13,1,$B$2),INDEX(Supuestos!$C$14:$E$14,1,$B$2))))+(IF(G6=2,INDEX(Supuestos!$C$12:$E$12,1,$B$2),IF(G6=3,INDEX(Supuestos!$C$13:$E$13,1,$B$2),IF(G6=4,INDEX(Supuestos!$C$14:$E$14,1,$B$2),INDEX(Supuestos!$C$15:$E$15,1,$B$2))))-IF(G6=2,INDEX(Supuestos!$C$11:$E$11,1,$B$2),IF(G6=3,INDEX(Supuestos!$C$12:$E$12,1,$B$2),IF(G6=4,INDEX(Supuestos!$C$13:$E$13,1,$B$2),INDEX(Supuestos!$C$14:$E$14,1,$B$2)))))*G7/12)</f>
        <v>45</v>
      </c>
      <c r="H10" s="41" t="n">
        <f aca="false">IF(H6=1,INDEX(Supuestos!$C$22:$N$22,1,H7)*INDEX(Supuestos!$C$11:$E$11,1,$B$2),IF(H6=2,INDEX(Supuestos!$C$11:$E$11,1,$B$2),IF(H6=3,INDEX(Supuestos!$C$12:$E$12,1,$B$2),IF(H6=4,INDEX(Supuestos!$C$13:$E$13,1,$B$2),INDEX(Supuestos!$C$14:$E$14,1,$B$2))))+(IF(H6=2,INDEX(Supuestos!$C$12:$E$12,1,$B$2),IF(H6=3,INDEX(Supuestos!$C$13:$E$13,1,$B$2),IF(H6=4,INDEX(Supuestos!$C$14:$E$14,1,$B$2),INDEX(Supuestos!$C$15:$E$15,1,$B$2))))-IF(H6=2,INDEX(Supuestos!$C$11:$E$11,1,$B$2),IF(H6=3,INDEX(Supuestos!$C$12:$E$12,1,$B$2),IF(H6=4,INDEX(Supuestos!$C$13:$E$13,1,$B$2),INDEX(Supuestos!$C$14:$E$14,1,$B$2)))))*H7/12)</f>
        <v>54.996</v>
      </c>
      <c r="I10" s="41" t="n">
        <f aca="false">IF(I6=1,INDEX(Supuestos!$C$22:$N$22,1,I7)*INDEX(Supuestos!$C$11:$E$11,1,$B$2),IF(I6=2,INDEX(Supuestos!$C$11:$E$11,1,$B$2),IF(I6=3,INDEX(Supuestos!$C$12:$E$12,1,$B$2),IF(I6=4,INDEX(Supuestos!$C$13:$E$13,1,$B$2),INDEX(Supuestos!$C$14:$E$14,1,$B$2))))+(IF(I6=2,INDEX(Supuestos!$C$12:$E$12,1,$B$2),IF(I6=3,INDEX(Supuestos!$C$13:$E$13,1,$B$2),IF(I6=4,INDEX(Supuestos!$C$14:$E$14,1,$B$2),INDEX(Supuestos!$C$15:$E$15,1,$B$2))))-IF(I6=2,INDEX(Supuestos!$C$11:$E$11,1,$B$2),IF(I6=3,INDEX(Supuestos!$C$12:$E$12,1,$B$2),IF(I6=4,INDEX(Supuestos!$C$13:$E$13,1,$B$2),INDEX(Supuestos!$C$14:$E$14,1,$B$2)))))*I7/12)</f>
        <v>65.004</v>
      </c>
      <c r="J10" s="41" t="n">
        <f aca="false">IF(J6=1,INDEX(Supuestos!$C$22:$N$22,1,J7)*INDEX(Supuestos!$C$11:$E$11,1,$B$2),IF(J6=2,INDEX(Supuestos!$C$11:$E$11,1,$B$2),IF(J6=3,INDEX(Supuestos!$C$12:$E$12,1,$B$2),IF(J6=4,INDEX(Supuestos!$C$13:$E$13,1,$B$2),INDEX(Supuestos!$C$14:$E$14,1,$B$2))))+(IF(J6=2,INDEX(Supuestos!$C$12:$E$12,1,$B$2),IF(J6=3,INDEX(Supuestos!$C$13:$E$13,1,$B$2),IF(J6=4,INDEX(Supuestos!$C$14:$E$14,1,$B$2),INDEX(Supuestos!$C$15:$E$15,1,$B$2))))-IF(J6=2,INDEX(Supuestos!$C$11:$E$11,1,$B$2),IF(J6=3,INDEX(Supuestos!$C$12:$E$12,1,$B$2),IF(J6=4,INDEX(Supuestos!$C$13:$E$13,1,$B$2),INDEX(Supuestos!$C$14:$E$14,1,$B$2)))))*J7/12)</f>
        <v>80.004</v>
      </c>
      <c r="K10" s="41" t="n">
        <f aca="false">IF(K6=1,INDEX(Supuestos!$C$22:$N$22,1,K7)*INDEX(Supuestos!$C$11:$E$11,1,$B$2),IF(K6=2,INDEX(Supuestos!$C$11:$E$11,1,$B$2),IF(K6=3,INDEX(Supuestos!$C$12:$E$12,1,$B$2),IF(K6=4,INDEX(Supuestos!$C$13:$E$13,1,$B$2),INDEX(Supuestos!$C$14:$E$14,1,$B$2))))+(IF(K6=2,INDEX(Supuestos!$C$12:$E$12,1,$B$2),IF(K6=3,INDEX(Supuestos!$C$13:$E$13,1,$B$2),IF(K6=4,INDEX(Supuestos!$C$14:$E$14,1,$B$2),INDEX(Supuestos!$C$15:$E$15,1,$B$2))))-IF(K6=2,INDEX(Supuestos!$C$11:$E$11,1,$B$2),IF(K6=3,INDEX(Supuestos!$C$12:$E$12,1,$B$2),IF(K6=4,INDEX(Supuestos!$C$13:$E$13,1,$B$2),INDEX(Supuestos!$C$14:$E$14,1,$B$2)))))*K7/12)</f>
        <v>90</v>
      </c>
      <c r="L10" s="41" t="n">
        <f aca="false">IF(L6=1,INDEX(Supuestos!$C$22:$N$22,1,L7)*INDEX(Supuestos!$C$11:$E$11,1,$B$2),IF(L6=2,INDEX(Supuestos!$C$11:$E$11,1,$B$2),IF(L6=3,INDEX(Supuestos!$C$12:$E$12,1,$B$2),IF(L6=4,INDEX(Supuestos!$C$13:$E$13,1,$B$2),INDEX(Supuestos!$C$14:$E$14,1,$B$2))))+(IF(L6=2,INDEX(Supuestos!$C$12:$E$12,1,$B$2),IF(L6=3,INDEX(Supuestos!$C$13:$E$13,1,$B$2),IF(L6=4,INDEX(Supuestos!$C$14:$E$14,1,$B$2),INDEX(Supuestos!$C$15:$E$15,1,$B$2))))-IF(L6=2,INDEX(Supuestos!$C$11:$E$11,1,$B$2),IF(L6=3,INDEX(Supuestos!$C$12:$E$12,1,$B$2),IF(L6=4,INDEX(Supuestos!$C$13:$E$13,1,$B$2),INDEX(Supuestos!$C$14:$E$14,1,$B$2)))))*L7/12)</f>
        <v>99.996</v>
      </c>
      <c r="M10" s="41" t="n">
        <f aca="false">IF(M6=1,INDEX(Supuestos!$C$22:$N$22,1,M7)*INDEX(Supuestos!$C$11:$E$11,1,$B$2),IF(M6=2,INDEX(Supuestos!$C$11:$E$11,1,$B$2),IF(M6=3,INDEX(Supuestos!$C$12:$E$12,1,$B$2),IF(M6=4,INDEX(Supuestos!$C$13:$E$13,1,$B$2),INDEX(Supuestos!$C$14:$E$14,1,$B$2))))+(IF(M6=2,INDEX(Supuestos!$C$12:$E$12,1,$B$2),IF(M6=3,INDEX(Supuestos!$C$13:$E$13,1,$B$2),IF(M6=4,INDEX(Supuestos!$C$14:$E$14,1,$B$2),INDEX(Supuestos!$C$15:$E$15,1,$B$2))))-IF(M6=2,INDEX(Supuestos!$C$11:$E$11,1,$B$2),IF(M6=3,INDEX(Supuestos!$C$12:$E$12,1,$B$2),IF(M6=4,INDEX(Supuestos!$C$13:$E$13,1,$B$2),INDEX(Supuestos!$C$14:$E$14,1,$B$2)))))*M7/12)</f>
        <v>110.004</v>
      </c>
      <c r="N10" s="41" t="n">
        <f aca="false">IF(N6=1,INDEX(Supuestos!$C$22:$N$22,1,N7)*INDEX(Supuestos!$C$11:$E$11,1,$B$2),IF(N6=2,INDEX(Supuestos!$C$11:$E$11,1,$B$2),IF(N6=3,INDEX(Supuestos!$C$12:$E$12,1,$B$2),IF(N6=4,INDEX(Supuestos!$C$13:$E$13,1,$B$2),INDEX(Supuestos!$C$14:$E$14,1,$B$2))))+(IF(N6=2,INDEX(Supuestos!$C$12:$E$12,1,$B$2),IF(N6=3,INDEX(Supuestos!$C$13:$E$13,1,$B$2),IF(N6=4,INDEX(Supuestos!$C$14:$E$14,1,$B$2),INDEX(Supuestos!$C$15:$E$15,1,$B$2))))-IF(N6=2,INDEX(Supuestos!$C$11:$E$11,1,$B$2),IF(N6=3,INDEX(Supuestos!$C$12:$E$12,1,$B$2),IF(N6=4,INDEX(Supuestos!$C$13:$E$13,1,$B$2),INDEX(Supuestos!$C$14:$E$14,1,$B$2)))))*N7/12)</f>
        <v>120</v>
      </c>
      <c r="O10" s="41" t="n">
        <f aca="false">IF(O6=1,INDEX(Supuestos!$C$22:$N$22,1,O7)*INDEX(Supuestos!$C$11:$E$11,1,$B$2),IF(O6=2,INDEX(Supuestos!$C$11:$E$11,1,$B$2),IF(O6=3,INDEX(Supuestos!$C$12:$E$12,1,$B$2),IF(O6=4,INDEX(Supuestos!$C$13:$E$13,1,$B$2),INDEX(Supuestos!$C$14:$E$14,1,$B$2))))+(IF(O6=2,INDEX(Supuestos!$C$12:$E$12,1,$B$2),IF(O6=3,INDEX(Supuestos!$C$13:$E$13,1,$B$2),IF(O6=4,INDEX(Supuestos!$C$14:$E$14,1,$B$2),INDEX(Supuestos!$C$15:$E$15,1,$B$2))))-IF(O6=2,INDEX(Supuestos!$C$11:$E$11,1,$B$2),IF(O6=3,INDEX(Supuestos!$C$12:$E$12,1,$B$2),IF(O6=4,INDEX(Supuestos!$C$13:$E$13,1,$B$2),INDEX(Supuestos!$C$14:$E$14,1,$B$2)))))*O7/12)</f>
        <v>135</v>
      </c>
      <c r="P10" s="41" t="n">
        <f aca="false">IF(P6=1,INDEX(Supuestos!$C$22:$N$22,1,P7)*INDEX(Supuestos!$C$11:$E$11,1,$B$2),IF(P6=2,INDEX(Supuestos!$C$11:$E$11,1,$B$2),IF(P6=3,INDEX(Supuestos!$C$12:$E$12,1,$B$2),IF(P6=4,INDEX(Supuestos!$C$13:$E$13,1,$B$2),INDEX(Supuestos!$C$14:$E$14,1,$B$2))))+(IF(P6=2,INDEX(Supuestos!$C$12:$E$12,1,$B$2),IF(P6=3,INDEX(Supuestos!$C$13:$E$13,1,$B$2),IF(P6=4,INDEX(Supuestos!$C$14:$E$14,1,$B$2),INDEX(Supuestos!$C$15:$E$15,1,$B$2))))-IF(P6=2,INDEX(Supuestos!$C$11:$E$11,1,$B$2),IF(P6=3,INDEX(Supuestos!$C$12:$E$12,1,$B$2),IF(P6=4,INDEX(Supuestos!$C$13:$E$13,1,$B$2),INDEX(Supuestos!$C$14:$E$14,1,$B$2)))))*P7/12)</f>
        <v>150</v>
      </c>
      <c r="Q10" s="41" t="n">
        <f aca="false">IF(Q6=1,INDEX(Supuestos!$C$22:$N$22,1,Q7)*INDEX(Supuestos!$C$11:$E$11,1,$B$2),IF(Q6=2,INDEX(Supuestos!$C$11:$E$11,1,$B$2),IF(Q6=3,INDEX(Supuestos!$C$12:$E$12,1,$B$2),IF(Q6=4,INDEX(Supuestos!$C$13:$E$13,1,$B$2),INDEX(Supuestos!$C$14:$E$14,1,$B$2))))+(IF(Q6=2,INDEX(Supuestos!$C$12:$E$12,1,$B$2),IF(Q6=3,INDEX(Supuestos!$C$13:$E$13,1,$B$2),IF(Q6=4,INDEX(Supuestos!$C$14:$E$14,1,$B$2),INDEX(Supuestos!$C$15:$E$15,1,$B$2))))-IF(Q6=2,INDEX(Supuestos!$C$11:$E$11,1,$B$2),IF(Q6=3,INDEX(Supuestos!$C$12:$E$12,1,$B$2),IF(Q6=4,INDEX(Supuestos!$C$13:$E$13,1,$B$2),INDEX(Supuestos!$C$14:$E$14,1,$B$2)))))*Q7/12)</f>
        <v>165</v>
      </c>
      <c r="R10" s="41" t="n">
        <f aca="false">IF(R6=1,INDEX(Supuestos!$C$22:$N$22,1,R7)*INDEX(Supuestos!$C$11:$E$11,1,$B$2),IF(R6=2,INDEX(Supuestos!$C$11:$E$11,1,$B$2),IF(R6=3,INDEX(Supuestos!$C$12:$E$12,1,$B$2),IF(R6=4,INDEX(Supuestos!$C$13:$E$13,1,$B$2),INDEX(Supuestos!$C$14:$E$14,1,$B$2))))+(IF(R6=2,INDEX(Supuestos!$C$12:$E$12,1,$B$2),IF(R6=3,INDEX(Supuestos!$C$13:$E$13,1,$B$2),IF(R6=4,INDEX(Supuestos!$C$14:$E$14,1,$B$2),INDEX(Supuestos!$C$15:$E$15,1,$B$2))))-IF(R6=2,INDEX(Supuestos!$C$11:$E$11,1,$B$2),IF(R6=3,INDEX(Supuestos!$C$12:$E$12,1,$B$2),IF(R6=4,INDEX(Supuestos!$C$13:$E$13,1,$B$2),INDEX(Supuestos!$C$14:$E$14,1,$B$2)))))*R7/12)</f>
        <v>180</v>
      </c>
      <c r="S10" s="41" t="n">
        <f aca="false">IF(S6=1,INDEX(Supuestos!$C$22:$N$22,1,S7)*INDEX(Supuestos!$C$11:$E$11,1,$B$2),IF(S6=2,INDEX(Supuestos!$C$11:$E$11,1,$B$2),IF(S6=3,INDEX(Supuestos!$C$12:$E$12,1,$B$2),IF(S6=4,INDEX(Supuestos!$C$13:$E$13,1,$B$2),INDEX(Supuestos!$C$14:$E$14,1,$B$2))))+(IF(S6=2,INDEX(Supuestos!$C$12:$E$12,1,$B$2),IF(S6=3,INDEX(Supuestos!$C$13:$E$13,1,$B$2),IF(S6=4,INDEX(Supuestos!$C$14:$E$14,1,$B$2),INDEX(Supuestos!$C$15:$E$15,1,$B$2))))-IF(S6=2,INDEX(Supuestos!$C$11:$E$11,1,$B$2),IF(S6=3,INDEX(Supuestos!$C$12:$E$12,1,$B$2),IF(S6=4,INDEX(Supuestos!$C$13:$E$13,1,$B$2),INDEX(Supuestos!$C$14:$E$14,1,$B$2)))))*S7/12)</f>
        <v>195</v>
      </c>
      <c r="T10" s="41" t="n">
        <f aca="false">IF(T6=1,INDEX(Supuestos!$C$22:$N$22,1,T7)*INDEX(Supuestos!$C$11:$E$11,1,$B$2),IF(T6=2,INDEX(Supuestos!$C$11:$E$11,1,$B$2),IF(T6=3,INDEX(Supuestos!$C$12:$E$12,1,$B$2),IF(T6=4,INDEX(Supuestos!$C$13:$E$13,1,$B$2),INDEX(Supuestos!$C$14:$E$14,1,$B$2))))+(IF(T6=2,INDEX(Supuestos!$C$12:$E$12,1,$B$2),IF(T6=3,INDEX(Supuestos!$C$13:$E$13,1,$B$2),IF(T6=4,INDEX(Supuestos!$C$14:$E$14,1,$B$2),INDEX(Supuestos!$C$15:$E$15,1,$B$2))))-IF(T6=2,INDEX(Supuestos!$C$11:$E$11,1,$B$2),IF(T6=3,INDEX(Supuestos!$C$12:$E$12,1,$B$2),IF(T6=4,INDEX(Supuestos!$C$13:$E$13,1,$B$2),INDEX(Supuestos!$C$14:$E$14,1,$B$2)))))*T7/12)</f>
        <v>210</v>
      </c>
      <c r="U10" s="41" t="n">
        <f aca="false">IF(U6=1,INDEX(Supuestos!$C$22:$N$22,1,U7)*INDEX(Supuestos!$C$11:$E$11,1,$B$2),IF(U6=2,INDEX(Supuestos!$C$11:$E$11,1,$B$2),IF(U6=3,INDEX(Supuestos!$C$12:$E$12,1,$B$2),IF(U6=4,INDEX(Supuestos!$C$13:$E$13,1,$B$2),INDEX(Supuestos!$C$14:$E$14,1,$B$2))))+(IF(U6=2,INDEX(Supuestos!$C$12:$E$12,1,$B$2),IF(U6=3,INDEX(Supuestos!$C$13:$E$13,1,$B$2),IF(U6=4,INDEX(Supuestos!$C$14:$E$14,1,$B$2),INDEX(Supuestos!$C$15:$E$15,1,$B$2))))-IF(U6=2,INDEX(Supuestos!$C$11:$E$11,1,$B$2),IF(U6=3,INDEX(Supuestos!$C$12:$E$12,1,$B$2),IF(U6=4,INDEX(Supuestos!$C$13:$E$13,1,$B$2),INDEX(Supuestos!$C$14:$E$14,1,$B$2)))))*U7/12)</f>
        <v>225</v>
      </c>
      <c r="V10" s="41" t="n">
        <f aca="false">IF(V6=1,INDEX(Supuestos!$C$22:$N$22,1,V7)*INDEX(Supuestos!$C$11:$E$11,1,$B$2),IF(V6=2,INDEX(Supuestos!$C$11:$E$11,1,$B$2),IF(V6=3,INDEX(Supuestos!$C$12:$E$12,1,$B$2),IF(V6=4,INDEX(Supuestos!$C$13:$E$13,1,$B$2),INDEX(Supuestos!$C$14:$E$14,1,$B$2))))+(IF(V6=2,INDEX(Supuestos!$C$12:$E$12,1,$B$2),IF(V6=3,INDEX(Supuestos!$C$13:$E$13,1,$B$2),IF(V6=4,INDEX(Supuestos!$C$14:$E$14,1,$B$2),INDEX(Supuestos!$C$15:$E$15,1,$B$2))))-IF(V6=2,INDEX(Supuestos!$C$11:$E$11,1,$B$2),IF(V6=3,INDEX(Supuestos!$C$12:$E$12,1,$B$2),IF(V6=4,INDEX(Supuestos!$C$13:$E$13,1,$B$2),INDEX(Supuestos!$C$14:$E$14,1,$B$2)))))*V7/12)</f>
        <v>240</v>
      </c>
      <c r="W10" s="41" t="n">
        <f aca="false">IF(W6=1,INDEX(Supuestos!$C$22:$N$22,1,W7)*INDEX(Supuestos!$C$11:$E$11,1,$B$2),IF(W6=2,INDEX(Supuestos!$C$11:$E$11,1,$B$2),IF(W6=3,INDEX(Supuestos!$C$12:$E$12,1,$B$2),IF(W6=4,INDEX(Supuestos!$C$13:$E$13,1,$B$2),INDEX(Supuestos!$C$14:$E$14,1,$B$2))))+(IF(W6=2,INDEX(Supuestos!$C$12:$E$12,1,$B$2),IF(W6=3,INDEX(Supuestos!$C$13:$E$13,1,$B$2),IF(W6=4,INDEX(Supuestos!$C$14:$E$14,1,$B$2),INDEX(Supuestos!$C$15:$E$15,1,$B$2))))-IF(W6=2,INDEX(Supuestos!$C$11:$E$11,1,$B$2),IF(W6=3,INDEX(Supuestos!$C$12:$E$12,1,$B$2),IF(W6=4,INDEX(Supuestos!$C$13:$E$13,1,$B$2),INDEX(Supuestos!$C$14:$E$14,1,$B$2)))))*W7/12)</f>
        <v>255</v>
      </c>
      <c r="X10" s="41" t="n">
        <f aca="false">IF(X6=1,INDEX(Supuestos!$C$22:$N$22,1,X7)*INDEX(Supuestos!$C$11:$E$11,1,$B$2),IF(X6=2,INDEX(Supuestos!$C$11:$E$11,1,$B$2),IF(X6=3,INDEX(Supuestos!$C$12:$E$12,1,$B$2),IF(X6=4,INDEX(Supuestos!$C$13:$E$13,1,$B$2),INDEX(Supuestos!$C$14:$E$14,1,$B$2))))+(IF(X6=2,INDEX(Supuestos!$C$12:$E$12,1,$B$2),IF(X6=3,INDEX(Supuestos!$C$13:$E$13,1,$B$2),IF(X6=4,INDEX(Supuestos!$C$14:$E$14,1,$B$2),INDEX(Supuestos!$C$15:$E$15,1,$B$2))))-IF(X6=2,INDEX(Supuestos!$C$11:$E$11,1,$B$2),IF(X6=3,INDEX(Supuestos!$C$12:$E$12,1,$B$2),IF(X6=4,INDEX(Supuestos!$C$13:$E$13,1,$B$2),INDEX(Supuestos!$C$14:$E$14,1,$B$2)))))*X7/12)</f>
        <v>270</v>
      </c>
      <c r="Y10" s="41" t="n">
        <f aca="false">IF(Y6=1,INDEX(Supuestos!$C$22:$N$22,1,Y7)*INDEX(Supuestos!$C$11:$E$11,1,$B$2),IF(Y6=2,INDEX(Supuestos!$C$11:$E$11,1,$B$2),IF(Y6=3,INDEX(Supuestos!$C$12:$E$12,1,$B$2),IF(Y6=4,INDEX(Supuestos!$C$13:$E$13,1,$B$2),INDEX(Supuestos!$C$14:$E$14,1,$B$2))))+(IF(Y6=2,INDEX(Supuestos!$C$12:$E$12,1,$B$2),IF(Y6=3,INDEX(Supuestos!$C$13:$E$13,1,$B$2),IF(Y6=4,INDEX(Supuestos!$C$14:$E$14,1,$B$2),INDEX(Supuestos!$C$15:$E$15,1,$B$2))))-IF(Y6=2,INDEX(Supuestos!$C$11:$E$11,1,$B$2),IF(Y6=3,INDEX(Supuestos!$C$12:$E$12,1,$B$2),IF(Y6=4,INDEX(Supuestos!$C$13:$E$13,1,$B$2),INDEX(Supuestos!$C$14:$E$14,1,$B$2)))))*Y7/12)</f>
        <v>285</v>
      </c>
      <c r="Z10" s="41" t="n">
        <f aca="false">IF(Z6=1,INDEX(Supuestos!$C$22:$N$22,1,Z7)*INDEX(Supuestos!$C$11:$E$11,1,$B$2),IF(Z6=2,INDEX(Supuestos!$C$11:$E$11,1,$B$2),IF(Z6=3,INDEX(Supuestos!$C$12:$E$12,1,$B$2),IF(Z6=4,INDEX(Supuestos!$C$13:$E$13,1,$B$2),INDEX(Supuestos!$C$14:$E$14,1,$B$2))))+(IF(Z6=2,INDEX(Supuestos!$C$12:$E$12,1,$B$2),IF(Z6=3,INDEX(Supuestos!$C$13:$E$13,1,$B$2),IF(Z6=4,INDEX(Supuestos!$C$14:$E$14,1,$B$2),INDEX(Supuestos!$C$15:$E$15,1,$B$2))))-IF(Z6=2,INDEX(Supuestos!$C$11:$E$11,1,$B$2),IF(Z6=3,INDEX(Supuestos!$C$12:$E$12,1,$B$2),IF(Z6=4,INDEX(Supuestos!$C$13:$E$13,1,$B$2),INDEX(Supuestos!$C$14:$E$14,1,$B$2)))))*Z7/12)</f>
        <v>300</v>
      </c>
      <c r="AA10" s="41" t="n">
        <f aca="false">IF(AA6=1,INDEX(Supuestos!$C$22:$N$22,1,AA7)*INDEX(Supuestos!$C$11:$E$11,1,$B$2),IF(AA6=2,INDEX(Supuestos!$C$11:$E$11,1,$B$2),IF(AA6=3,INDEX(Supuestos!$C$12:$E$12,1,$B$2),IF(AA6=4,INDEX(Supuestos!$C$13:$E$13,1,$B$2),INDEX(Supuestos!$C$14:$E$14,1,$B$2))))+(IF(AA6=2,INDEX(Supuestos!$C$12:$E$12,1,$B$2),IF(AA6=3,INDEX(Supuestos!$C$13:$E$13,1,$B$2),IF(AA6=4,INDEX(Supuestos!$C$14:$E$14,1,$B$2),INDEX(Supuestos!$C$15:$E$15,1,$B$2))))-IF(AA6=2,INDEX(Supuestos!$C$11:$E$11,1,$B$2),IF(AA6=3,INDEX(Supuestos!$C$12:$E$12,1,$B$2),IF(AA6=4,INDEX(Supuestos!$C$13:$E$13,1,$B$2),INDEX(Supuestos!$C$14:$E$14,1,$B$2)))))*AA7/12)</f>
        <v>325</v>
      </c>
      <c r="AB10" s="41" t="n">
        <f aca="false">IF(AB6=1,INDEX(Supuestos!$C$22:$N$22,1,AB7)*INDEX(Supuestos!$C$11:$E$11,1,$B$2),IF(AB6=2,INDEX(Supuestos!$C$11:$E$11,1,$B$2),IF(AB6=3,INDEX(Supuestos!$C$12:$E$12,1,$B$2),IF(AB6=4,INDEX(Supuestos!$C$13:$E$13,1,$B$2),INDEX(Supuestos!$C$14:$E$14,1,$B$2))))+(IF(AB6=2,INDEX(Supuestos!$C$12:$E$12,1,$B$2),IF(AB6=3,INDEX(Supuestos!$C$13:$E$13,1,$B$2),IF(AB6=4,INDEX(Supuestos!$C$14:$E$14,1,$B$2),INDEX(Supuestos!$C$15:$E$15,1,$B$2))))-IF(AB6=2,INDEX(Supuestos!$C$11:$E$11,1,$B$2),IF(AB6=3,INDEX(Supuestos!$C$12:$E$12,1,$B$2),IF(AB6=4,INDEX(Supuestos!$C$13:$E$13,1,$B$2),INDEX(Supuestos!$C$14:$E$14,1,$B$2)))))*AB7/12)</f>
        <v>350</v>
      </c>
      <c r="AC10" s="41" t="n">
        <f aca="false">IF(AC6=1,INDEX(Supuestos!$C$22:$N$22,1,AC7)*INDEX(Supuestos!$C$11:$E$11,1,$B$2),IF(AC6=2,INDEX(Supuestos!$C$11:$E$11,1,$B$2),IF(AC6=3,INDEX(Supuestos!$C$12:$E$12,1,$B$2),IF(AC6=4,INDEX(Supuestos!$C$13:$E$13,1,$B$2),INDEX(Supuestos!$C$14:$E$14,1,$B$2))))+(IF(AC6=2,INDEX(Supuestos!$C$12:$E$12,1,$B$2),IF(AC6=3,INDEX(Supuestos!$C$13:$E$13,1,$B$2),IF(AC6=4,INDEX(Supuestos!$C$14:$E$14,1,$B$2),INDEX(Supuestos!$C$15:$E$15,1,$B$2))))-IF(AC6=2,INDEX(Supuestos!$C$11:$E$11,1,$B$2),IF(AC6=3,INDEX(Supuestos!$C$12:$E$12,1,$B$2),IF(AC6=4,INDEX(Supuestos!$C$13:$E$13,1,$B$2),INDEX(Supuestos!$C$14:$E$14,1,$B$2)))))*AC7/12)</f>
        <v>375</v>
      </c>
      <c r="AD10" s="41" t="n">
        <f aca="false">IF(AD6=1,INDEX(Supuestos!$C$22:$N$22,1,AD7)*INDEX(Supuestos!$C$11:$E$11,1,$B$2),IF(AD6=2,INDEX(Supuestos!$C$11:$E$11,1,$B$2),IF(AD6=3,INDEX(Supuestos!$C$12:$E$12,1,$B$2),IF(AD6=4,INDEX(Supuestos!$C$13:$E$13,1,$B$2),INDEX(Supuestos!$C$14:$E$14,1,$B$2))))+(IF(AD6=2,INDEX(Supuestos!$C$12:$E$12,1,$B$2),IF(AD6=3,INDEX(Supuestos!$C$13:$E$13,1,$B$2),IF(AD6=4,INDEX(Supuestos!$C$14:$E$14,1,$B$2),INDEX(Supuestos!$C$15:$E$15,1,$B$2))))-IF(AD6=2,INDEX(Supuestos!$C$11:$E$11,1,$B$2),IF(AD6=3,INDEX(Supuestos!$C$12:$E$12,1,$B$2),IF(AD6=4,INDEX(Supuestos!$C$13:$E$13,1,$B$2),INDEX(Supuestos!$C$14:$E$14,1,$B$2)))))*AD7/12)</f>
        <v>400</v>
      </c>
      <c r="AE10" s="41" t="n">
        <f aca="false">IF(AE6=1,INDEX(Supuestos!$C$22:$N$22,1,AE7)*INDEX(Supuestos!$C$11:$E$11,1,$B$2),IF(AE6=2,INDEX(Supuestos!$C$11:$E$11,1,$B$2),IF(AE6=3,INDEX(Supuestos!$C$12:$E$12,1,$B$2),IF(AE6=4,INDEX(Supuestos!$C$13:$E$13,1,$B$2),INDEX(Supuestos!$C$14:$E$14,1,$B$2))))+(IF(AE6=2,INDEX(Supuestos!$C$12:$E$12,1,$B$2),IF(AE6=3,INDEX(Supuestos!$C$13:$E$13,1,$B$2),IF(AE6=4,INDEX(Supuestos!$C$14:$E$14,1,$B$2),INDEX(Supuestos!$C$15:$E$15,1,$B$2))))-IF(AE6=2,INDEX(Supuestos!$C$11:$E$11,1,$B$2),IF(AE6=3,INDEX(Supuestos!$C$12:$E$12,1,$B$2),IF(AE6=4,INDEX(Supuestos!$C$13:$E$13,1,$B$2),INDEX(Supuestos!$C$14:$E$14,1,$B$2)))))*AE7/12)</f>
        <v>425</v>
      </c>
      <c r="AF10" s="41" t="n">
        <f aca="false">IF(AF6=1,INDEX(Supuestos!$C$22:$N$22,1,AF7)*INDEX(Supuestos!$C$11:$E$11,1,$B$2),IF(AF6=2,INDEX(Supuestos!$C$11:$E$11,1,$B$2),IF(AF6=3,INDEX(Supuestos!$C$12:$E$12,1,$B$2),IF(AF6=4,INDEX(Supuestos!$C$13:$E$13,1,$B$2),INDEX(Supuestos!$C$14:$E$14,1,$B$2))))+(IF(AF6=2,INDEX(Supuestos!$C$12:$E$12,1,$B$2),IF(AF6=3,INDEX(Supuestos!$C$13:$E$13,1,$B$2),IF(AF6=4,INDEX(Supuestos!$C$14:$E$14,1,$B$2),INDEX(Supuestos!$C$15:$E$15,1,$B$2))))-IF(AF6=2,INDEX(Supuestos!$C$11:$E$11,1,$B$2),IF(AF6=3,INDEX(Supuestos!$C$12:$E$12,1,$B$2),IF(AF6=4,INDEX(Supuestos!$C$13:$E$13,1,$B$2),INDEX(Supuestos!$C$14:$E$14,1,$B$2)))))*AF7/12)</f>
        <v>450</v>
      </c>
      <c r="AG10" s="41" t="n">
        <f aca="false">IF(AG6=1,INDEX(Supuestos!$C$22:$N$22,1,AG7)*INDEX(Supuestos!$C$11:$E$11,1,$B$2),IF(AG6=2,INDEX(Supuestos!$C$11:$E$11,1,$B$2),IF(AG6=3,INDEX(Supuestos!$C$12:$E$12,1,$B$2),IF(AG6=4,INDEX(Supuestos!$C$13:$E$13,1,$B$2),INDEX(Supuestos!$C$14:$E$14,1,$B$2))))+(IF(AG6=2,INDEX(Supuestos!$C$12:$E$12,1,$B$2),IF(AG6=3,INDEX(Supuestos!$C$13:$E$13,1,$B$2),IF(AG6=4,INDEX(Supuestos!$C$14:$E$14,1,$B$2),INDEX(Supuestos!$C$15:$E$15,1,$B$2))))-IF(AG6=2,INDEX(Supuestos!$C$11:$E$11,1,$B$2),IF(AG6=3,INDEX(Supuestos!$C$12:$E$12,1,$B$2),IF(AG6=4,INDEX(Supuestos!$C$13:$E$13,1,$B$2),INDEX(Supuestos!$C$14:$E$14,1,$B$2)))))*AG7/12)</f>
        <v>475</v>
      </c>
      <c r="AH10" s="41" t="n">
        <f aca="false">IF(AH6=1,INDEX(Supuestos!$C$22:$N$22,1,AH7)*INDEX(Supuestos!$C$11:$E$11,1,$B$2),IF(AH6=2,INDEX(Supuestos!$C$11:$E$11,1,$B$2),IF(AH6=3,INDEX(Supuestos!$C$12:$E$12,1,$B$2),IF(AH6=4,INDEX(Supuestos!$C$13:$E$13,1,$B$2),INDEX(Supuestos!$C$14:$E$14,1,$B$2))))+(IF(AH6=2,INDEX(Supuestos!$C$12:$E$12,1,$B$2),IF(AH6=3,INDEX(Supuestos!$C$13:$E$13,1,$B$2),IF(AH6=4,INDEX(Supuestos!$C$14:$E$14,1,$B$2),INDEX(Supuestos!$C$15:$E$15,1,$B$2))))-IF(AH6=2,INDEX(Supuestos!$C$11:$E$11,1,$B$2),IF(AH6=3,INDEX(Supuestos!$C$12:$E$12,1,$B$2),IF(AH6=4,INDEX(Supuestos!$C$13:$E$13,1,$B$2),INDEX(Supuestos!$C$14:$E$14,1,$B$2)))))*AH7/12)</f>
        <v>500</v>
      </c>
      <c r="AI10" s="41" t="n">
        <f aca="false">IF(AI6=1,INDEX(Supuestos!$C$22:$N$22,1,AI7)*INDEX(Supuestos!$C$11:$E$11,1,$B$2),IF(AI6=2,INDEX(Supuestos!$C$11:$E$11,1,$B$2),IF(AI6=3,INDEX(Supuestos!$C$12:$E$12,1,$B$2),IF(AI6=4,INDEX(Supuestos!$C$13:$E$13,1,$B$2),INDEX(Supuestos!$C$14:$E$14,1,$B$2))))+(IF(AI6=2,INDEX(Supuestos!$C$12:$E$12,1,$B$2),IF(AI6=3,INDEX(Supuestos!$C$13:$E$13,1,$B$2),IF(AI6=4,INDEX(Supuestos!$C$14:$E$14,1,$B$2),INDEX(Supuestos!$C$15:$E$15,1,$B$2))))-IF(AI6=2,INDEX(Supuestos!$C$11:$E$11,1,$B$2),IF(AI6=3,INDEX(Supuestos!$C$12:$E$12,1,$B$2),IF(AI6=4,INDEX(Supuestos!$C$13:$E$13,1,$B$2),INDEX(Supuestos!$C$14:$E$14,1,$B$2)))))*AI7/12)</f>
        <v>525</v>
      </c>
      <c r="AJ10" s="41" t="n">
        <f aca="false">IF(AJ6=1,INDEX(Supuestos!$C$22:$N$22,1,AJ7)*INDEX(Supuestos!$C$11:$E$11,1,$B$2),IF(AJ6=2,INDEX(Supuestos!$C$11:$E$11,1,$B$2),IF(AJ6=3,INDEX(Supuestos!$C$12:$E$12,1,$B$2),IF(AJ6=4,INDEX(Supuestos!$C$13:$E$13,1,$B$2),INDEX(Supuestos!$C$14:$E$14,1,$B$2))))+(IF(AJ6=2,INDEX(Supuestos!$C$12:$E$12,1,$B$2),IF(AJ6=3,INDEX(Supuestos!$C$13:$E$13,1,$B$2),IF(AJ6=4,INDEX(Supuestos!$C$14:$E$14,1,$B$2),INDEX(Supuestos!$C$15:$E$15,1,$B$2))))-IF(AJ6=2,INDEX(Supuestos!$C$11:$E$11,1,$B$2),IF(AJ6=3,INDEX(Supuestos!$C$12:$E$12,1,$B$2),IF(AJ6=4,INDEX(Supuestos!$C$13:$E$13,1,$B$2),INDEX(Supuestos!$C$14:$E$14,1,$B$2)))))*AJ7/12)</f>
        <v>550</v>
      </c>
      <c r="AK10" s="41" t="n">
        <f aca="false">IF(AK6=1,INDEX(Supuestos!$C$22:$N$22,1,AK7)*INDEX(Supuestos!$C$11:$E$11,1,$B$2),IF(AK6=2,INDEX(Supuestos!$C$11:$E$11,1,$B$2),IF(AK6=3,INDEX(Supuestos!$C$12:$E$12,1,$B$2),IF(AK6=4,INDEX(Supuestos!$C$13:$E$13,1,$B$2),INDEX(Supuestos!$C$14:$E$14,1,$B$2))))+(IF(AK6=2,INDEX(Supuestos!$C$12:$E$12,1,$B$2),IF(AK6=3,INDEX(Supuestos!$C$13:$E$13,1,$B$2),IF(AK6=4,INDEX(Supuestos!$C$14:$E$14,1,$B$2),INDEX(Supuestos!$C$15:$E$15,1,$B$2))))-IF(AK6=2,INDEX(Supuestos!$C$11:$E$11,1,$B$2),IF(AK6=3,INDEX(Supuestos!$C$12:$E$12,1,$B$2),IF(AK6=4,INDEX(Supuestos!$C$13:$E$13,1,$B$2),INDEX(Supuestos!$C$14:$E$14,1,$B$2)))))*AK7/12)</f>
        <v>575</v>
      </c>
      <c r="AL10" s="41" t="n">
        <f aca="false">IF(AL6=1,INDEX(Supuestos!$C$22:$N$22,1,AL7)*INDEX(Supuestos!$C$11:$E$11,1,$B$2),IF(AL6=2,INDEX(Supuestos!$C$11:$E$11,1,$B$2),IF(AL6=3,INDEX(Supuestos!$C$12:$E$12,1,$B$2),IF(AL6=4,INDEX(Supuestos!$C$13:$E$13,1,$B$2),INDEX(Supuestos!$C$14:$E$14,1,$B$2))))+(IF(AL6=2,INDEX(Supuestos!$C$12:$E$12,1,$B$2),IF(AL6=3,INDEX(Supuestos!$C$13:$E$13,1,$B$2),IF(AL6=4,INDEX(Supuestos!$C$14:$E$14,1,$B$2),INDEX(Supuestos!$C$15:$E$15,1,$B$2))))-IF(AL6=2,INDEX(Supuestos!$C$11:$E$11,1,$B$2),IF(AL6=3,INDEX(Supuestos!$C$12:$E$12,1,$B$2),IF(AL6=4,INDEX(Supuestos!$C$13:$E$13,1,$B$2),INDEX(Supuestos!$C$14:$E$14,1,$B$2)))))*AL7/12)</f>
        <v>600</v>
      </c>
      <c r="AM10" s="41" t="n">
        <f aca="false">IF(AM6=1,INDEX(Supuestos!$C$22:$N$22,1,AM7)*INDEX(Supuestos!$C$11:$E$11,1,$B$2),IF(AM6=2,INDEX(Supuestos!$C$11:$E$11,1,$B$2),IF(AM6=3,INDEX(Supuestos!$C$12:$E$12,1,$B$2),IF(AM6=4,INDEX(Supuestos!$C$13:$E$13,1,$B$2),INDEX(Supuestos!$C$14:$E$14,1,$B$2))))+(IF(AM6=2,INDEX(Supuestos!$C$12:$E$12,1,$B$2),IF(AM6=3,INDEX(Supuestos!$C$13:$E$13,1,$B$2),IF(AM6=4,INDEX(Supuestos!$C$14:$E$14,1,$B$2),INDEX(Supuestos!$C$15:$E$15,1,$B$2))))-IF(AM6=2,INDEX(Supuestos!$C$11:$E$11,1,$B$2),IF(AM6=3,INDEX(Supuestos!$C$12:$E$12,1,$B$2),IF(AM6=4,INDEX(Supuestos!$C$13:$E$13,1,$B$2),INDEX(Supuestos!$C$14:$E$14,1,$B$2)))))*AM7/12)</f>
        <v>625</v>
      </c>
      <c r="AN10" s="41" t="n">
        <f aca="false">IF(AN6=1,INDEX(Supuestos!$C$22:$N$22,1,AN7)*INDEX(Supuestos!$C$11:$E$11,1,$B$2),IF(AN6=2,INDEX(Supuestos!$C$11:$E$11,1,$B$2),IF(AN6=3,INDEX(Supuestos!$C$12:$E$12,1,$B$2),IF(AN6=4,INDEX(Supuestos!$C$13:$E$13,1,$B$2),INDEX(Supuestos!$C$14:$E$14,1,$B$2))))+(IF(AN6=2,INDEX(Supuestos!$C$12:$E$12,1,$B$2),IF(AN6=3,INDEX(Supuestos!$C$13:$E$13,1,$B$2),IF(AN6=4,INDEX(Supuestos!$C$14:$E$14,1,$B$2),INDEX(Supuestos!$C$15:$E$15,1,$B$2))))-IF(AN6=2,INDEX(Supuestos!$C$11:$E$11,1,$B$2),IF(AN6=3,INDEX(Supuestos!$C$12:$E$12,1,$B$2),IF(AN6=4,INDEX(Supuestos!$C$13:$E$13,1,$B$2),INDEX(Supuestos!$C$14:$E$14,1,$B$2)))))*AN7/12)</f>
        <v>650</v>
      </c>
      <c r="AO10" s="41" t="n">
        <f aca="false">IF(AO6=1,INDEX(Supuestos!$C$22:$N$22,1,AO7)*INDEX(Supuestos!$C$11:$E$11,1,$B$2),IF(AO6=2,INDEX(Supuestos!$C$11:$E$11,1,$B$2),IF(AO6=3,INDEX(Supuestos!$C$12:$E$12,1,$B$2),IF(AO6=4,INDEX(Supuestos!$C$13:$E$13,1,$B$2),INDEX(Supuestos!$C$14:$E$14,1,$B$2))))+(IF(AO6=2,INDEX(Supuestos!$C$12:$E$12,1,$B$2),IF(AO6=3,INDEX(Supuestos!$C$13:$E$13,1,$B$2),IF(AO6=4,INDEX(Supuestos!$C$14:$E$14,1,$B$2),INDEX(Supuestos!$C$15:$E$15,1,$B$2))))-IF(AO6=2,INDEX(Supuestos!$C$11:$E$11,1,$B$2),IF(AO6=3,INDEX(Supuestos!$C$12:$E$12,1,$B$2),IF(AO6=4,INDEX(Supuestos!$C$13:$E$13,1,$B$2),INDEX(Supuestos!$C$14:$E$14,1,$B$2)))))*AO7/12)</f>
        <v>675</v>
      </c>
      <c r="AP10" s="41" t="n">
        <f aca="false">IF(AP6=1,INDEX(Supuestos!$C$22:$N$22,1,AP7)*INDEX(Supuestos!$C$11:$E$11,1,$B$2),IF(AP6=2,INDEX(Supuestos!$C$11:$E$11,1,$B$2),IF(AP6=3,INDEX(Supuestos!$C$12:$E$12,1,$B$2),IF(AP6=4,INDEX(Supuestos!$C$13:$E$13,1,$B$2),INDEX(Supuestos!$C$14:$E$14,1,$B$2))))+(IF(AP6=2,INDEX(Supuestos!$C$12:$E$12,1,$B$2),IF(AP6=3,INDEX(Supuestos!$C$13:$E$13,1,$B$2),IF(AP6=4,INDEX(Supuestos!$C$14:$E$14,1,$B$2),INDEX(Supuestos!$C$15:$E$15,1,$B$2))))-IF(AP6=2,INDEX(Supuestos!$C$11:$E$11,1,$B$2),IF(AP6=3,INDEX(Supuestos!$C$12:$E$12,1,$B$2),IF(AP6=4,INDEX(Supuestos!$C$13:$E$13,1,$B$2),INDEX(Supuestos!$C$14:$E$14,1,$B$2)))))*AP7/12)</f>
        <v>700</v>
      </c>
      <c r="AQ10" s="41" t="n">
        <f aca="false">IF(AQ6=1,INDEX(Supuestos!$C$22:$N$22,1,AQ7)*INDEX(Supuestos!$C$11:$E$11,1,$B$2),IF(AQ6=2,INDEX(Supuestos!$C$11:$E$11,1,$B$2),IF(AQ6=3,INDEX(Supuestos!$C$12:$E$12,1,$B$2),IF(AQ6=4,INDEX(Supuestos!$C$13:$E$13,1,$B$2),INDEX(Supuestos!$C$14:$E$14,1,$B$2))))+(IF(AQ6=2,INDEX(Supuestos!$C$12:$E$12,1,$B$2),IF(AQ6=3,INDEX(Supuestos!$C$13:$E$13,1,$B$2),IF(AQ6=4,INDEX(Supuestos!$C$14:$E$14,1,$B$2),INDEX(Supuestos!$C$15:$E$15,1,$B$2))))-IF(AQ6=2,INDEX(Supuestos!$C$11:$E$11,1,$B$2),IF(AQ6=3,INDEX(Supuestos!$C$12:$E$12,1,$B$2),IF(AQ6=4,INDEX(Supuestos!$C$13:$E$13,1,$B$2),INDEX(Supuestos!$C$14:$E$14,1,$B$2)))))*AQ7/12)</f>
        <v>725</v>
      </c>
      <c r="AR10" s="41" t="n">
        <f aca="false">IF(AR6=1,INDEX(Supuestos!$C$22:$N$22,1,AR7)*INDEX(Supuestos!$C$11:$E$11,1,$B$2),IF(AR6=2,INDEX(Supuestos!$C$11:$E$11,1,$B$2),IF(AR6=3,INDEX(Supuestos!$C$12:$E$12,1,$B$2),IF(AR6=4,INDEX(Supuestos!$C$13:$E$13,1,$B$2),INDEX(Supuestos!$C$14:$E$14,1,$B$2))))+(IF(AR6=2,INDEX(Supuestos!$C$12:$E$12,1,$B$2),IF(AR6=3,INDEX(Supuestos!$C$13:$E$13,1,$B$2),IF(AR6=4,INDEX(Supuestos!$C$14:$E$14,1,$B$2),INDEX(Supuestos!$C$15:$E$15,1,$B$2))))-IF(AR6=2,INDEX(Supuestos!$C$11:$E$11,1,$B$2),IF(AR6=3,INDEX(Supuestos!$C$12:$E$12,1,$B$2),IF(AR6=4,INDEX(Supuestos!$C$13:$E$13,1,$B$2),INDEX(Supuestos!$C$14:$E$14,1,$B$2)))))*AR7/12)</f>
        <v>750</v>
      </c>
      <c r="AS10" s="41" t="n">
        <f aca="false">IF(AS6=1,INDEX(Supuestos!$C$22:$N$22,1,AS7)*INDEX(Supuestos!$C$11:$E$11,1,$B$2),IF(AS6=2,INDEX(Supuestos!$C$11:$E$11,1,$B$2),IF(AS6=3,INDEX(Supuestos!$C$12:$E$12,1,$B$2),IF(AS6=4,INDEX(Supuestos!$C$13:$E$13,1,$B$2),INDEX(Supuestos!$C$14:$E$14,1,$B$2))))+(IF(AS6=2,INDEX(Supuestos!$C$12:$E$12,1,$B$2),IF(AS6=3,INDEX(Supuestos!$C$13:$E$13,1,$B$2),IF(AS6=4,INDEX(Supuestos!$C$14:$E$14,1,$B$2),INDEX(Supuestos!$C$15:$E$15,1,$B$2))))-IF(AS6=2,INDEX(Supuestos!$C$11:$E$11,1,$B$2),IF(AS6=3,INDEX(Supuestos!$C$12:$E$12,1,$B$2),IF(AS6=4,INDEX(Supuestos!$C$13:$E$13,1,$B$2),INDEX(Supuestos!$C$14:$E$14,1,$B$2)))))*AS7/12)</f>
        <v>775</v>
      </c>
      <c r="AT10" s="41" t="n">
        <f aca="false">IF(AT6=1,INDEX(Supuestos!$C$22:$N$22,1,AT7)*INDEX(Supuestos!$C$11:$E$11,1,$B$2),IF(AT6=2,INDEX(Supuestos!$C$11:$E$11,1,$B$2),IF(AT6=3,INDEX(Supuestos!$C$12:$E$12,1,$B$2),IF(AT6=4,INDEX(Supuestos!$C$13:$E$13,1,$B$2),INDEX(Supuestos!$C$14:$E$14,1,$B$2))))+(IF(AT6=2,INDEX(Supuestos!$C$12:$E$12,1,$B$2),IF(AT6=3,INDEX(Supuestos!$C$13:$E$13,1,$B$2),IF(AT6=4,INDEX(Supuestos!$C$14:$E$14,1,$B$2),INDEX(Supuestos!$C$15:$E$15,1,$B$2))))-IF(AT6=2,INDEX(Supuestos!$C$11:$E$11,1,$B$2),IF(AT6=3,INDEX(Supuestos!$C$12:$E$12,1,$B$2),IF(AT6=4,INDEX(Supuestos!$C$13:$E$13,1,$B$2),INDEX(Supuestos!$C$14:$E$14,1,$B$2)))))*AT7/12)</f>
        <v>800</v>
      </c>
      <c r="AU10" s="41" t="n">
        <f aca="false">IF(AU6=1,INDEX(Supuestos!$C$22:$N$22,1,AU7)*INDEX(Supuestos!$C$11:$E$11,1,$B$2),IF(AU6=2,INDEX(Supuestos!$C$11:$E$11,1,$B$2),IF(AU6=3,INDEX(Supuestos!$C$12:$E$12,1,$B$2),IF(AU6=4,INDEX(Supuestos!$C$13:$E$13,1,$B$2),INDEX(Supuestos!$C$14:$E$14,1,$B$2))))+(IF(AU6=2,INDEX(Supuestos!$C$12:$E$12,1,$B$2),IF(AU6=3,INDEX(Supuestos!$C$13:$E$13,1,$B$2),IF(AU6=4,INDEX(Supuestos!$C$14:$E$14,1,$B$2),INDEX(Supuestos!$C$15:$E$15,1,$B$2))))-IF(AU6=2,INDEX(Supuestos!$C$11:$E$11,1,$B$2),IF(AU6=3,INDEX(Supuestos!$C$12:$E$12,1,$B$2),IF(AU6=4,INDEX(Supuestos!$C$13:$E$13,1,$B$2),INDEX(Supuestos!$C$14:$E$14,1,$B$2)))))*AU7/12)</f>
        <v>825</v>
      </c>
      <c r="AV10" s="41" t="n">
        <f aca="false">IF(AV6=1,INDEX(Supuestos!$C$22:$N$22,1,AV7)*INDEX(Supuestos!$C$11:$E$11,1,$B$2),IF(AV6=2,INDEX(Supuestos!$C$11:$E$11,1,$B$2),IF(AV6=3,INDEX(Supuestos!$C$12:$E$12,1,$B$2),IF(AV6=4,INDEX(Supuestos!$C$13:$E$13,1,$B$2),INDEX(Supuestos!$C$14:$E$14,1,$B$2))))+(IF(AV6=2,INDEX(Supuestos!$C$12:$E$12,1,$B$2),IF(AV6=3,INDEX(Supuestos!$C$13:$E$13,1,$B$2),IF(AV6=4,INDEX(Supuestos!$C$14:$E$14,1,$B$2),INDEX(Supuestos!$C$15:$E$15,1,$B$2))))-IF(AV6=2,INDEX(Supuestos!$C$11:$E$11,1,$B$2),IF(AV6=3,INDEX(Supuestos!$C$12:$E$12,1,$B$2),IF(AV6=4,INDEX(Supuestos!$C$13:$E$13,1,$B$2),INDEX(Supuestos!$C$14:$E$14,1,$B$2)))))*AV7/12)</f>
        <v>850</v>
      </c>
      <c r="AW10" s="41" t="n">
        <f aca="false">IF(AW6=1,INDEX(Supuestos!$C$22:$N$22,1,AW7)*INDEX(Supuestos!$C$11:$E$11,1,$B$2),IF(AW6=2,INDEX(Supuestos!$C$11:$E$11,1,$B$2),IF(AW6=3,INDEX(Supuestos!$C$12:$E$12,1,$B$2),IF(AW6=4,INDEX(Supuestos!$C$13:$E$13,1,$B$2),INDEX(Supuestos!$C$14:$E$14,1,$B$2))))+(IF(AW6=2,INDEX(Supuestos!$C$12:$E$12,1,$B$2),IF(AW6=3,INDEX(Supuestos!$C$13:$E$13,1,$B$2),IF(AW6=4,INDEX(Supuestos!$C$14:$E$14,1,$B$2),INDEX(Supuestos!$C$15:$E$15,1,$B$2))))-IF(AW6=2,INDEX(Supuestos!$C$11:$E$11,1,$B$2),IF(AW6=3,INDEX(Supuestos!$C$12:$E$12,1,$B$2),IF(AW6=4,INDEX(Supuestos!$C$13:$E$13,1,$B$2),INDEX(Supuestos!$C$14:$E$14,1,$B$2)))))*AW7/12)</f>
        <v>875</v>
      </c>
      <c r="AX10" s="41" t="n">
        <f aca="false">IF(AX6=1,INDEX(Supuestos!$C$22:$N$22,1,AX7)*INDEX(Supuestos!$C$11:$E$11,1,$B$2),IF(AX6=2,INDEX(Supuestos!$C$11:$E$11,1,$B$2),IF(AX6=3,INDEX(Supuestos!$C$12:$E$12,1,$B$2),IF(AX6=4,INDEX(Supuestos!$C$13:$E$13,1,$B$2),INDEX(Supuestos!$C$14:$E$14,1,$B$2))))+(IF(AX6=2,INDEX(Supuestos!$C$12:$E$12,1,$B$2),IF(AX6=3,INDEX(Supuestos!$C$13:$E$13,1,$B$2),IF(AX6=4,INDEX(Supuestos!$C$14:$E$14,1,$B$2),INDEX(Supuestos!$C$15:$E$15,1,$B$2))))-IF(AX6=2,INDEX(Supuestos!$C$11:$E$11,1,$B$2),IF(AX6=3,INDEX(Supuestos!$C$12:$E$12,1,$B$2),IF(AX6=4,INDEX(Supuestos!$C$13:$E$13,1,$B$2),INDEX(Supuestos!$C$14:$E$14,1,$B$2)))))*AX7/12)</f>
        <v>900</v>
      </c>
      <c r="AY10" s="41" t="n">
        <f aca="false">IF(AY6=1,INDEX(Supuestos!$C$22:$N$22,1,AY7)*INDEX(Supuestos!$C$11:$E$11,1,$B$2),IF(AY6=2,INDEX(Supuestos!$C$11:$E$11,1,$B$2),IF(AY6=3,INDEX(Supuestos!$C$12:$E$12,1,$B$2),IF(AY6=4,INDEX(Supuestos!$C$13:$E$13,1,$B$2),INDEX(Supuestos!$C$14:$E$14,1,$B$2))))+(IF(AY6=2,INDEX(Supuestos!$C$12:$E$12,1,$B$2),IF(AY6=3,INDEX(Supuestos!$C$13:$E$13,1,$B$2),IF(AY6=4,INDEX(Supuestos!$C$14:$E$14,1,$B$2),INDEX(Supuestos!$C$15:$E$15,1,$B$2))))-IF(AY6=2,INDEX(Supuestos!$C$11:$E$11,1,$B$2),IF(AY6=3,INDEX(Supuestos!$C$12:$E$12,1,$B$2),IF(AY6=4,INDEX(Supuestos!$C$13:$E$13,1,$B$2),INDEX(Supuestos!$C$14:$E$14,1,$B$2)))))*AY7/12)</f>
        <v>925</v>
      </c>
      <c r="AZ10" s="41" t="n">
        <f aca="false">IF(AZ6=1,INDEX(Supuestos!$C$22:$N$22,1,AZ7)*INDEX(Supuestos!$C$11:$E$11,1,$B$2),IF(AZ6=2,INDEX(Supuestos!$C$11:$E$11,1,$B$2),IF(AZ6=3,INDEX(Supuestos!$C$12:$E$12,1,$B$2),IF(AZ6=4,INDEX(Supuestos!$C$13:$E$13,1,$B$2),INDEX(Supuestos!$C$14:$E$14,1,$B$2))))+(IF(AZ6=2,INDEX(Supuestos!$C$12:$E$12,1,$B$2),IF(AZ6=3,INDEX(Supuestos!$C$13:$E$13,1,$B$2),IF(AZ6=4,INDEX(Supuestos!$C$14:$E$14,1,$B$2),INDEX(Supuestos!$C$15:$E$15,1,$B$2))))-IF(AZ6=2,INDEX(Supuestos!$C$11:$E$11,1,$B$2),IF(AZ6=3,INDEX(Supuestos!$C$12:$E$12,1,$B$2),IF(AZ6=4,INDEX(Supuestos!$C$13:$E$13,1,$B$2),INDEX(Supuestos!$C$14:$E$14,1,$B$2)))))*AZ7/12)</f>
        <v>950</v>
      </c>
      <c r="BA10" s="41" t="n">
        <f aca="false">IF(BA6=1,INDEX(Supuestos!$C$22:$N$22,1,BA7)*INDEX(Supuestos!$C$11:$E$11,1,$B$2),IF(BA6=2,INDEX(Supuestos!$C$11:$E$11,1,$B$2),IF(BA6=3,INDEX(Supuestos!$C$12:$E$12,1,$B$2),IF(BA6=4,INDEX(Supuestos!$C$13:$E$13,1,$B$2),INDEX(Supuestos!$C$14:$E$14,1,$B$2))))+(IF(BA6=2,INDEX(Supuestos!$C$12:$E$12,1,$B$2),IF(BA6=3,INDEX(Supuestos!$C$13:$E$13,1,$B$2),IF(BA6=4,INDEX(Supuestos!$C$14:$E$14,1,$B$2),INDEX(Supuestos!$C$15:$E$15,1,$B$2))))-IF(BA6=2,INDEX(Supuestos!$C$11:$E$11,1,$B$2),IF(BA6=3,INDEX(Supuestos!$C$12:$E$12,1,$B$2),IF(BA6=4,INDEX(Supuestos!$C$13:$E$13,1,$B$2),INDEX(Supuestos!$C$14:$E$14,1,$B$2)))))*BA7/12)</f>
        <v>975</v>
      </c>
      <c r="BB10" s="41" t="n">
        <f aca="false">IF(BB6=1,INDEX(Supuestos!$C$22:$N$22,1,BB7)*INDEX(Supuestos!$C$11:$E$11,1,$B$2),IF(BB6=2,INDEX(Supuestos!$C$11:$E$11,1,$B$2),IF(BB6=3,INDEX(Supuestos!$C$12:$E$12,1,$B$2),IF(BB6=4,INDEX(Supuestos!$C$13:$E$13,1,$B$2),INDEX(Supuestos!$C$14:$E$14,1,$B$2))))+(IF(BB6=2,INDEX(Supuestos!$C$12:$E$12,1,$B$2),IF(BB6=3,INDEX(Supuestos!$C$13:$E$13,1,$B$2),IF(BB6=4,INDEX(Supuestos!$C$14:$E$14,1,$B$2),INDEX(Supuestos!$C$15:$E$15,1,$B$2))))-IF(BB6=2,INDEX(Supuestos!$C$11:$E$11,1,$B$2),IF(BB6=3,INDEX(Supuestos!$C$12:$E$12,1,$B$2),IF(BB6=4,INDEX(Supuestos!$C$13:$E$13,1,$B$2),INDEX(Supuestos!$C$14:$E$14,1,$B$2)))))*BB7/12)</f>
        <v>1000</v>
      </c>
      <c r="BC10" s="41" t="n">
        <f aca="false">IF(BC6=1,INDEX(Supuestos!$C$22:$N$22,1,BC7)*INDEX(Supuestos!$C$11:$E$11,1,$B$2),IF(BC6=2,INDEX(Supuestos!$C$11:$E$11,1,$B$2),IF(BC6=3,INDEX(Supuestos!$C$12:$E$12,1,$B$2),IF(BC6=4,INDEX(Supuestos!$C$13:$E$13,1,$B$2),INDEX(Supuestos!$C$14:$E$14,1,$B$2))))+(IF(BC6=2,INDEX(Supuestos!$C$12:$E$12,1,$B$2),IF(BC6=3,INDEX(Supuestos!$C$13:$E$13,1,$B$2),IF(BC6=4,INDEX(Supuestos!$C$14:$E$14,1,$B$2),INDEX(Supuestos!$C$15:$E$15,1,$B$2))))-IF(BC6=2,INDEX(Supuestos!$C$11:$E$11,1,$B$2),IF(BC6=3,INDEX(Supuestos!$C$12:$E$12,1,$B$2),IF(BC6=4,INDEX(Supuestos!$C$13:$E$13,1,$B$2),INDEX(Supuestos!$C$14:$E$14,1,$B$2)))))*BC7/12)</f>
        <v>1025</v>
      </c>
      <c r="BD10" s="41" t="n">
        <f aca="false">IF(BD6=1,INDEX(Supuestos!$C$22:$N$22,1,BD7)*INDEX(Supuestos!$C$11:$E$11,1,$B$2),IF(BD6=2,INDEX(Supuestos!$C$11:$E$11,1,$B$2),IF(BD6=3,INDEX(Supuestos!$C$12:$E$12,1,$B$2),IF(BD6=4,INDEX(Supuestos!$C$13:$E$13,1,$B$2),INDEX(Supuestos!$C$14:$E$14,1,$B$2))))+(IF(BD6=2,INDEX(Supuestos!$C$12:$E$12,1,$B$2),IF(BD6=3,INDEX(Supuestos!$C$13:$E$13,1,$B$2),IF(BD6=4,INDEX(Supuestos!$C$14:$E$14,1,$B$2),INDEX(Supuestos!$C$15:$E$15,1,$B$2))))-IF(BD6=2,INDEX(Supuestos!$C$11:$E$11,1,$B$2),IF(BD6=3,INDEX(Supuestos!$C$12:$E$12,1,$B$2),IF(BD6=4,INDEX(Supuestos!$C$13:$E$13,1,$B$2),INDEX(Supuestos!$C$14:$E$14,1,$B$2)))))*BD7/12)</f>
        <v>1050</v>
      </c>
      <c r="BE10" s="41" t="n">
        <f aca="false">IF(BE6=1,INDEX(Supuestos!$C$22:$N$22,1,BE7)*INDEX(Supuestos!$C$11:$E$11,1,$B$2),IF(BE6=2,INDEX(Supuestos!$C$11:$E$11,1,$B$2),IF(BE6=3,INDEX(Supuestos!$C$12:$E$12,1,$B$2),IF(BE6=4,INDEX(Supuestos!$C$13:$E$13,1,$B$2),INDEX(Supuestos!$C$14:$E$14,1,$B$2))))+(IF(BE6=2,INDEX(Supuestos!$C$12:$E$12,1,$B$2),IF(BE6=3,INDEX(Supuestos!$C$13:$E$13,1,$B$2),IF(BE6=4,INDEX(Supuestos!$C$14:$E$14,1,$B$2),INDEX(Supuestos!$C$15:$E$15,1,$B$2))))-IF(BE6=2,INDEX(Supuestos!$C$11:$E$11,1,$B$2),IF(BE6=3,INDEX(Supuestos!$C$12:$E$12,1,$B$2),IF(BE6=4,INDEX(Supuestos!$C$13:$E$13,1,$B$2),INDEX(Supuestos!$C$14:$E$14,1,$B$2)))))*BE7/12)</f>
        <v>1075</v>
      </c>
      <c r="BF10" s="41" t="n">
        <f aca="false">IF(BF6=1,INDEX(Supuestos!$C$22:$N$22,1,BF7)*INDEX(Supuestos!$C$11:$E$11,1,$B$2),IF(BF6=2,INDEX(Supuestos!$C$11:$E$11,1,$B$2),IF(BF6=3,INDEX(Supuestos!$C$12:$E$12,1,$B$2),IF(BF6=4,INDEX(Supuestos!$C$13:$E$13,1,$B$2),INDEX(Supuestos!$C$14:$E$14,1,$B$2))))+(IF(BF6=2,INDEX(Supuestos!$C$12:$E$12,1,$B$2),IF(BF6=3,INDEX(Supuestos!$C$13:$E$13,1,$B$2),IF(BF6=4,INDEX(Supuestos!$C$14:$E$14,1,$B$2),INDEX(Supuestos!$C$15:$E$15,1,$B$2))))-IF(BF6=2,INDEX(Supuestos!$C$11:$E$11,1,$B$2),IF(BF6=3,INDEX(Supuestos!$C$12:$E$12,1,$B$2),IF(BF6=4,INDEX(Supuestos!$C$13:$E$13,1,$B$2),INDEX(Supuestos!$C$14:$E$14,1,$B$2)))))*BF7/12)</f>
        <v>1100</v>
      </c>
      <c r="BG10" s="41" t="n">
        <f aca="false">IF(BG6=1,INDEX(Supuestos!$C$22:$N$22,1,BG7)*INDEX(Supuestos!$C$11:$E$11,1,$B$2),IF(BG6=2,INDEX(Supuestos!$C$11:$E$11,1,$B$2),IF(BG6=3,INDEX(Supuestos!$C$12:$E$12,1,$B$2),IF(BG6=4,INDEX(Supuestos!$C$13:$E$13,1,$B$2),INDEX(Supuestos!$C$14:$E$14,1,$B$2))))+(IF(BG6=2,INDEX(Supuestos!$C$12:$E$12,1,$B$2),IF(BG6=3,INDEX(Supuestos!$C$13:$E$13,1,$B$2),IF(BG6=4,INDEX(Supuestos!$C$14:$E$14,1,$B$2),INDEX(Supuestos!$C$15:$E$15,1,$B$2))))-IF(BG6=2,INDEX(Supuestos!$C$11:$E$11,1,$B$2),IF(BG6=3,INDEX(Supuestos!$C$12:$E$12,1,$B$2),IF(BG6=4,INDEX(Supuestos!$C$13:$E$13,1,$B$2),INDEX(Supuestos!$C$14:$E$14,1,$B$2)))))*BG7/12)</f>
        <v>1125</v>
      </c>
      <c r="BH10" s="41" t="n">
        <f aca="false">IF(BH6=1,INDEX(Supuestos!$C$22:$N$22,1,BH7)*INDEX(Supuestos!$C$11:$E$11,1,$B$2),IF(BH6=2,INDEX(Supuestos!$C$11:$E$11,1,$B$2),IF(BH6=3,INDEX(Supuestos!$C$12:$E$12,1,$B$2),IF(BH6=4,INDEX(Supuestos!$C$13:$E$13,1,$B$2),INDEX(Supuestos!$C$14:$E$14,1,$B$2))))+(IF(BH6=2,INDEX(Supuestos!$C$12:$E$12,1,$B$2),IF(BH6=3,INDEX(Supuestos!$C$13:$E$13,1,$B$2),IF(BH6=4,INDEX(Supuestos!$C$14:$E$14,1,$B$2),INDEX(Supuestos!$C$15:$E$15,1,$B$2))))-IF(BH6=2,INDEX(Supuestos!$C$11:$E$11,1,$B$2),IF(BH6=3,INDEX(Supuestos!$C$12:$E$12,1,$B$2),IF(BH6=4,INDEX(Supuestos!$C$13:$E$13,1,$B$2),INDEX(Supuestos!$C$14:$E$14,1,$B$2)))))*BH7/12)</f>
        <v>1150</v>
      </c>
      <c r="BI10" s="41" t="n">
        <f aca="false">IF(BI6=1,INDEX(Supuestos!$C$22:$N$22,1,BI7)*INDEX(Supuestos!$C$11:$E$11,1,$B$2),IF(BI6=2,INDEX(Supuestos!$C$11:$E$11,1,$B$2),IF(BI6=3,INDEX(Supuestos!$C$12:$E$12,1,$B$2),IF(BI6=4,INDEX(Supuestos!$C$13:$E$13,1,$B$2),INDEX(Supuestos!$C$14:$E$14,1,$B$2))))+(IF(BI6=2,INDEX(Supuestos!$C$12:$E$12,1,$B$2),IF(BI6=3,INDEX(Supuestos!$C$13:$E$13,1,$B$2),IF(BI6=4,INDEX(Supuestos!$C$14:$E$14,1,$B$2),INDEX(Supuestos!$C$15:$E$15,1,$B$2))))-IF(BI6=2,INDEX(Supuestos!$C$11:$E$11,1,$B$2),IF(BI6=3,INDEX(Supuestos!$C$12:$E$12,1,$B$2),IF(BI6=4,INDEX(Supuestos!$C$13:$E$13,1,$B$2),INDEX(Supuestos!$C$14:$E$14,1,$B$2)))))*BI7/12)</f>
        <v>1175</v>
      </c>
      <c r="BJ10" s="41" t="n">
        <f aca="false">IF(BJ6=1,INDEX(Supuestos!$C$22:$N$22,1,BJ7)*INDEX(Supuestos!$C$11:$E$11,1,$B$2),IF(BJ6=2,INDEX(Supuestos!$C$11:$E$11,1,$B$2),IF(BJ6=3,INDEX(Supuestos!$C$12:$E$12,1,$B$2),IF(BJ6=4,INDEX(Supuestos!$C$13:$E$13,1,$B$2),INDEX(Supuestos!$C$14:$E$14,1,$B$2))))+(IF(BJ6=2,INDEX(Supuestos!$C$12:$E$12,1,$B$2),IF(BJ6=3,INDEX(Supuestos!$C$13:$E$13,1,$B$2),IF(BJ6=4,INDEX(Supuestos!$C$14:$E$14,1,$B$2),INDEX(Supuestos!$C$15:$E$15,1,$B$2))))-IF(BJ6=2,INDEX(Supuestos!$C$11:$E$11,1,$B$2),IF(BJ6=3,INDEX(Supuestos!$C$12:$E$12,1,$B$2),IF(BJ6=4,INDEX(Supuestos!$C$13:$E$13,1,$B$2),INDEX(Supuestos!$C$14:$E$14,1,$B$2)))))*BJ7/12)</f>
        <v>1200</v>
      </c>
    </row>
    <row r="11" customFormat="false" ht="15" hidden="false" customHeight="true" outlineLevel="0" collapsed="false">
      <c r="A11" s="10" t="s">
        <v>243</v>
      </c>
      <c r="B11" s="7" t="s">
        <v>73</v>
      </c>
      <c r="C11" s="41" t="n">
        <v>0</v>
      </c>
      <c r="D11" s="41" t="n">
        <f aca="false">C14</f>
        <v>9.996</v>
      </c>
      <c r="E11" s="41" t="n">
        <f aca="false">D14</f>
        <v>15</v>
      </c>
      <c r="F11" s="41" t="n">
        <f aca="false">E14</f>
        <v>24.996</v>
      </c>
      <c r="G11" s="41" t="n">
        <f aca="false">F14</f>
        <v>35.004</v>
      </c>
      <c r="H11" s="41" t="n">
        <f aca="false">G14</f>
        <v>45</v>
      </c>
      <c r="I11" s="41" t="n">
        <f aca="false">H14</f>
        <v>54.996</v>
      </c>
      <c r="J11" s="41" t="n">
        <f aca="false">I14</f>
        <v>65.004</v>
      </c>
      <c r="K11" s="41" t="n">
        <f aca="false">J14</f>
        <v>80.004</v>
      </c>
      <c r="L11" s="41" t="n">
        <f aca="false">K14</f>
        <v>90</v>
      </c>
      <c r="M11" s="41" t="n">
        <f aca="false">L14</f>
        <v>99.996</v>
      </c>
      <c r="N11" s="41" t="n">
        <f aca="false">M14</f>
        <v>110.004</v>
      </c>
      <c r="O11" s="41" t="n">
        <f aca="false">N14</f>
        <v>120</v>
      </c>
      <c r="P11" s="41" t="n">
        <f aca="false">O14</f>
        <v>135</v>
      </c>
      <c r="Q11" s="41" t="n">
        <f aca="false">P14</f>
        <v>150</v>
      </c>
      <c r="R11" s="41" t="n">
        <f aca="false">Q14</f>
        <v>165</v>
      </c>
      <c r="S11" s="41" t="n">
        <f aca="false">R14</f>
        <v>180</v>
      </c>
      <c r="T11" s="41" t="n">
        <f aca="false">S14</f>
        <v>195</v>
      </c>
      <c r="U11" s="41" t="n">
        <f aca="false">T14</f>
        <v>210</v>
      </c>
      <c r="V11" s="41" t="n">
        <f aca="false">U14</f>
        <v>225</v>
      </c>
      <c r="W11" s="41" t="n">
        <f aca="false">V14</f>
        <v>240</v>
      </c>
      <c r="X11" s="41" t="n">
        <f aca="false">W14</f>
        <v>255</v>
      </c>
      <c r="Y11" s="41" t="n">
        <f aca="false">X14</f>
        <v>270</v>
      </c>
      <c r="Z11" s="41" t="n">
        <f aca="false">Y14</f>
        <v>285</v>
      </c>
      <c r="AA11" s="41" t="n">
        <f aca="false">Z14</f>
        <v>300</v>
      </c>
      <c r="AB11" s="41" t="n">
        <f aca="false">AA14</f>
        <v>325</v>
      </c>
      <c r="AC11" s="41" t="n">
        <f aca="false">AB14</f>
        <v>350</v>
      </c>
      <c r="AD11" s="41" t="n">
        <f aca="false">AC14</f>
        <v>375</v>
      </c>
      <c r="AE11" s="41" t="n">
        <f aca="false">AD14</f>
        <v>400</v>
      </c>
      <c r="AF11" s="41" t="n">
        <f aca="false">AE14</f>
        <v>425</v>
      </c>
      <c r="AG11" s="41" t="n">
        <f aca="false">AF14</f>
        <v>450</v>
      </c>
      <c r="AH11" s="41" t="n">
        <f aca="false">AG14</f>
        <v>475</v>
      </c>
      <c r="AI11" s="41" t="n">
        <f aca="false">AH14</f>
        <v>500</v>
      </c>
      <c r="AJ11" s="41" t="n">
        <f aca="false">AI14</f>
        <v>525</v>
      </c>
      <c r="AK11" s="41" t="n">
        <f aca="false">AJ14</f>
        <v>550</v>
      </c>
      <c r="AL11" s="41" t="n">
        <f aca="false">AK14</f>
        <v>575</v>
      </c>
      <c r="AM11" s="41" t="n">
        <f aca="false">AL14</f>
        <v>600</v>
      </c>
      <c r="AN11" s="41" t="n">
        <f aca="false">AM14</f>
        <v>625</v>
      </c>
      <c r="AO11" s="41" t="n">
        <f aca="false">AN14</f>
        <v>650</v>
      </c>
      <c r="AP11" s="41" t="n">
        <f aca="false">AO14</f>
        <v>675</v>
      </c>
      <c r="AQ11" s="41" t="n">
        <f aca="false">AP14</f>
        <v>700</v>
      </c>
      <c r="AR11" s="41" t="n">
        <f aca="false">AQ14</f>
        <v>725</v>
      </c>
      <c r="AS11" s="41" t="n">
        <f aca="false">AR14</f>
        <v>750</v>
      </c>
      <c r="AT11" s="41" t="n">
        <f aca="false">AS14</f>
        <v>775</v>
      </c>
      <c r="AU11" s="41" t="n">
        <f aca="false">AT14</f>
        <v>800</v>
      </c>
      <c r="AV11" s="41" t="n">
        <f aca="false">AU14</f>
        <v>825</v>
      </c>
      <c r="AW11" s="41" t="n">
        <f aca="false">AV14</f>
        <v>850</v>
      </c>
      <c r="AX11" s="41" t="n">
        <f aca="false">AW14</f>
        <v>875</v>
      </c>
      <c r="AY11" s="41" t="n">
        <f aca="false">AX14</f>
        <v>900</v>
      </c>
      <c r="AZ11" s="41" t="n">
        <f aca="false">AY14</f>
        <v>925</v>
      </c>
      <c r="BA11" s="41" t="n">
        <f aca="false">AZ14</f>
        <v>950</v>
      </c>
      <c r="BB11" s="41" t="n">
        <f aca="false">BA14</f>
        <v>975</v>
      </c>
      <c r="BC11" s="41" t="n">
        <f aca="false">BB14</f>
        <v>1000</v>
      </c>
      <c r="BD11" s="41" t="n">
        <f aca="false">BC14</f>
        <v>1025</v>
      </c>
      <c r="BE11" s="41" t="n">
        <f aca="false">BD14</f>
        <v>1050</v>
      </c>
      <c r="BF11" s="41" t="n">
        <f aca="false">BE14</f>
        <v>1075</v>
      </c>
      <c r="BG11" s="41" t="n">
        <f aca="false">BF14</f>
        <v>1100</v>
      </c>
      <c r="BH11" s="41" t="n">
        <f aca="false">BG14</f>
        <v>1125</v>
      </c>
      <c r="BI11" s="41" t="n">
        <f aca="false">BH14</f>
        <v>1150</v>
      </c>
      <c r="BJ11" s="41" t="n">
        <f aca="false">BI14</f>
        <v>1175</v>
      </c>
    </row>
    <row r="12" customFormat="false" ht="15" hidden="false" customHeight="true" outlineLevel="0" collapsed="false">
      <c r="A12" s="10" t="s">
        <v>244</v>
      </c>
      <c r="B12" s="7" t="s">
        <v>73</v>
      </c>
      <c r="C12" s="41" t="n">
        <f aca="false">C11*INDEX(Supuestos!$C$16:$E$16,1,$B$2)</f>
        <v>0</v>
      </c>
      <c r="D12" s="41" t="n">
        <f aca="false">D11*INDEX(Supuestos!$C$16:$E$16,1,$B$2)</f>
        <v>0.29988</v>
      </c>
      <c r="E12" s="41" t="n">
        <f aca="false">E11*INDEX(Supuestos!$C$16:$E$16,1,$B$2)</f>
        <v>0.45</v>
      </c>
      <c r="F12" s="41" t="n">
        <f aca="false">F11*INDEX(Supuestos!$C$16:$E$16,1,$B$2)</f>
        <v>0.74988</v>
      </c>
      <c r="G12" s="41" t="n">
        <f aca="false">G11*INDEX(Supuestos!$C$16:$E$16,1,$B$2)</f>
        <v>1.05012</v>
      </c>
      <c r="H12" s="41" t="n">
        <f aca="false">H11*INDEX(Supuestos!$C$16:$E$16,1,$B$2)</f>
        <v>1.35</v>
      </c>
      <c r="I12" s="41" t="n">
        <f aca="false">I11*INDEX(Supuestos!$C$16:$E$16,1,$B$2)</f>
        <v>1.64988</v>
      </c>
      <c r="J12" s="41" t="n">
        <f aca="false">J11*INDEX(Supuestos!$C$16:$E$16,1,$B$2)</f>
        <v>1.95012</v>
      </c>
      <c r="K12" s="41" t="n">
        <f aca="false">K11*INDEX(Supuestos!$C$16:$E$16,1,$B$2)</f>
        <v>2.40012</v>
      </c>
      <c r="L12" s="41" t="n">
        <f aca="false">L11*INDEX(Supuestos!$C$16:$E$16,1,$B$2)</f>
        <v>2.7</v>
      </c>
      <c r="M12" s="41" t="n">
        <f aca="false">M11*INDEX(Supuestos!$C$16:$E$16,1,$B$2)</f>
        <v>2.99988</v>
      </c>
      <c r="N12" s="41" t="n">
        <f aca="false">N11*INDEX(Supuestos!$C$16:$E$16,1,$B$2)</f>
        <v>3.30012</v>
      </c>
      <c r="O12" s="41" t="n">
        <f aca="false">O11*INDEX(Supuestos!$C$16:$E$16,1,$B$2)</f>
        <v>3.6</v>
      </c>
      <c r="P12" s="41" t="n">
        <f aca="false">P11*INDEX(Supuestos!$C$16:$E$16,1,$B$2)</f>
        <v>4.05</v>
      </c>
      <c r="Q12" s="41" t="n">
        <f aca="false">Q11*INDEX(Supuestos!$C$16:$E$16,1,$B$2)</f>
        <v>4.5</v>
      </c>
      <c r="R12" s="41" t="n">
        <f aca="false">R11*INDEX(Supuestos!$C$16:$E$16,1,$B$2)</f>
        <v>4.95</v>
      </c>
      <c r="S12" s="41" t="n">
        <f aca="false">S11*INDEX(Supuestos!$C$16:$E$16,1,$B$2)</f>
        <v>5.4</v>
      </c>
      <c r="T12" s="41" t="n">
        <f aca="false">T11*INDEX(Supuestos!$C$16:$E$16,1,$B$2)</f>
        <v>5.85</v>
      </c>
      <c r="U12" s="41" t="n">
        <f aca="false">U11*INDEX(Supuestos!$C$16:$E$16,1,$B$2)</f>
        <v>6.3</v>
      </c>
      <c r="V12" s="41" t="n">
        <f aca="false">V11*INDEX(Supuestos!$C$16:$E$16,1,$B$2)</f>
        <v>6.75</v>
      </c>
      <c r="W12" s="41" t="n">
        <f aca="false">W11*INDEX(Supuestos!$C$16:$E$16,1,$B$2)</f>
        <v>7.2</v>
      </c>
      <c r="X12" s="41" t="n">
        <f aca="false">X11*INDEX(Supuestos!$C$16:$E$16,1,$B$2)</f>
        <v>7.65</v>
      </c>
      <c r="Y12" s="41" t="n">
        <f aca="false">Y11*INDEX(Supuestos!$C$16:$E$16,1,$B$2)</f>
        <v>8.1</v>
      </c>
      <c r="Z12" s="41" t="n">
        <f aca="false">Z11*INDEX(Supuestos!$C$16:$E$16,1,$B$2)</f>
        <v>8.55</v>
      </c>
      <c r="AA12" s="41" t="n">
        <f aca="false">AA11*INDEX(Supuestos!$C$16:$E$16,1,$B$2)</f>
        <v>9</v>
      </c>
      <c r="AB12" s="41" t="n">
        <f aca="false">AB11*INDEX(Supuestos!$C$16:$E$16,1,$B$2)</f>
        <v>9.75</v>
      </c>
      <c r="AC12" s="41" t="n">
        <f aca="false">AC11*INDEX(Supuestos!$C$16:$E$16,1,$B$2)</f>
        <v>10.5</v>
      </c>
      <c r="AD12" s="41" t="n">
        <f aca="false">AD11*INDEX(Supuestos!$C$16:$E$16,1,$B$2)</f>
        <v>11.25</v>
      </c>
      <c r="AE12" s="41" t="n">
        <f aca="false">AE11*INDEX(Supuestos!$C$16:$E$16,1,$B$2)</f>
        <v>12</v>
      </c>
      <c r="AF12" s="41" t="n">
        <f aca="false">AF11*INDEX(Supuestos!$C$16:$E$16,1,$B$2)</f>
        <v>12.75</v>
      </c>
      <c r="AG12" s="41" t="n">
        <f aca="false">AG11*INDEX(Supuestos!$C$16:$E$16,1,$B$2)</f>
        <v>13.5</v>
      </c>
      <c r="AH12" s="41" t="n">
        <f aca="false">AH11*INDEX(Supuestos!$C$16:$E$16,1,$B$2)</f>
        <v>14.25</v>
      </c>
      <c r="AI12" s="41" t="n">
        <f aca="false">AI11*INDEX(Supuestos!$C$16:$E$16,1,$B$2)</f>
        <v>15</v>
      </c>
      <c r="AJ12" s="41" t="n">
        <f aca="false">AJ11*INDEX(Supuestos!$C$16:$E$16,1,$B$2)</f>
        <v>15.75</v>
      </c>
      <c r="AK12" s="41" t="n">
        <f aca="false">AK11*INDEX(Supuestos!$C$16:$E$16,1,$B$2)</f>
        <v>16.5</v>
      </c>
      <c r="AL12" s="41" t="n">
        <f aca="false">AL11*INDEX(Supuestos!$C$16:$E$16,1,$B$2)</f>
        <v>17.25</v>
      </c>
      <c r="AM12" s="41" t="n">
        <f aca="false">AM11*INDEX(Supuestos!$C$16:$E$16,1,$B$2)</f>
        <v>18</v>
      </c>
      <c r="AN12" s="41" t="n">
        <f aca="false">AN11*INDEX(Supuestos!$C$16:$E$16,1,$B$2)</f>
        <v>18.75</v>
      </c>
      <c r="AO12" s="41" t="n">
        <f aca="false">AO11*INDEX(Supuestos!$C$16:$E$16,1,$B$2)</f>
        <v>19.5</v>
      </c>
      <c r="AP12" s="41" t="n">
        <f aca="false">AP11*INDEX(Supuestos!$C$16:$E$16,1,$B$2)</f>
        <v>20.25</v>
      </c>
      <c r="AQ12" s="41" t="n">
        <f aca="false">AQ11*INDEX(Supuestos!$C$16:$E$16,1,$B$2)</f>
        <v>21</v>
      </c>
      <c r="AR12" s="41" t="n">
        <f aca="false">AR11*INDEX(Supuestos!$C$16:$E$16,1,$B$2)</f>
        <v>21.75</v>
      </c>
      <c r="AS12" s="41" t="n">
        <f aca="false">AS11*INDEX(Supuestos!$C$16:$E$16,1,$B$2)</f>
        <v>22.5</v>
      </c>
      <c r="AT12" s="41" t="n">
        <f aca="false">AT11*INDEX(Supuestos!$C$16:$E$16,1,$B$2)</f>
        <v>23.25</v>
      </c>
      <c r="AU12" s="41" t="n">
        <f aca="false">AU11*INDEX(Supuestos!$C$16:$E$16,1,$B$2)</f>
        <v>24</v>
      </c>
      <c r="AV12" s="41" t="n">
        <f aca="false">AV11*INDEX(Supuestos!$C$16:$E$16,1,$B$2)</f>
        <v>24.75</v>
      </c>
      <c r="AW12" s="41" t="n">
        <f aca="false">AW11*INDEX(Supuestos!$C$16:$E$16,1,$B$2)</f>
        <v>25.5</v>
      </c>
      <c r="AX12" s="41" t="n">
        <f aca="false">AX11*INDEX(Supuestos!$C$16:$E$16,1,$B$2)</f>
        <v>26.25</v>
      </c>
      <c r="AY12" s="41" t="n">
        <f aca="false">AY11*INDEX(Supuestos!$C$16:$E$16,1,$B$2)</f>
        <v>27</v>
      </c>
      <c r="AZ12" s="41" t="n">
        <f aca="false">AZ11*INDEX(Supuestos!$C$16:$E$16,1,$B$2)</f>
        <v>27.75</v>
      </c>
      <c r="BA12" s="41" t="n">
        <f aca="false">BA11*INDEX(Supuestos!$C$16:$E$16,1,$B$2)</f>
        <v>28.5</v>
      </c>
      <c r="BB12" s="41" t="n">
        <f aca="false">BB11*INDEX(Supuestos!$C$16:$E$16,1,$B$2)</f>
        <v>29.25</v>
      </c>
      <c r="BC12" s="41" t="n">
        <f aca="false">BC11*INDEX(Supuestos!$C$16:$E$16,1,$B$2)</f>
        <v>30</v>
      </c>
      <c r="BD12" s="41" t="n">
        <f aca="false">BD11*INDEX(Supuestos!$C$16:$E$16,1,$B$2)</f>
        <v>30.75</v>
      </c>
      <c r="BE12" s="41" t="n">
        <f aca="false">BE11*INDEX(Supuestos!$C$16:$E$16,1,$B$2)</f>
        <v>31.5</v>
      </c>
      <c r="BF12" s="41" t="n">
        <f aca="false">BF11*INDEX(Supuestos!$C$16:$E$16,1,$B$2)</f>
        <v>32.25</v>
      </c>
      <c r="BG12" s="41" t="n">
        <f aca="false">BG11*INDEX(Supuestos!$C$16:$E$16,1,$B$2)</f>
        <v>33</v>
      </c>
      <c r="BH12" s="41" t="n">
        <f aca="false">BH11*INDEX(Supuestos!$C$16:$E$16,1,$B$2)</f>
        <v>33.75</v>
      </c>
      <c r="BI12" s="41" t="n">
        <f aca="false">BI11*INDEX(Supuestos!$C$16:$E$16,1,$B$2)</f>
        <v>34.5</v>
      </c>
      <c r="BJ12" s="41" t="n">
        <f aca="false">BJ11*INDEX(Supuestos!$C$16:$E$16,1,$B$2)</f>
        <v>35.25</v>
      </c>
    </row>
    <row r="13" customFormat="false" ht="15" hidden="false" customHeight="true" outlineLevel="0" collapsed="false">
      <c r="A13" s="10" t="s">
        <v>189</v>
      </c>
      <c r="B13" s="7" t="s">
        <v>73</v>
      </c>
      <c r="C13" s="41" t="n">
        <f aca="false">MAX(0,C10-(C11-C12))</f>
        <v>9.996</v>
      </c>
      <c r="D13" s="41" t="n">
        <f aca="false">MAX(0,D10-(D11-D12))</f>
        <v>5.30388</v>
      </c>
      <c r="E13" s="41" t="n">
        <f aca="false">MAX(0,E10-(E11-E12))</f>
        <v>10.446</v>
      </c>
      <c r="F13" s="41" t="n">
        <f aca="false">MAX(0,F10-(F11-F12))</f>
        <v>10.75788</v>
      </c>
      <c r="G13" s="41" t="n">
        <f aca="false">MAX(0,G10-(G11-G12))</f>
        <v>11.04612</v>
      </c>
      <c r="H13" s="41" t="n">
        <f aca="false">MAX(0,H10-(H11-H12))</f>
        <v>11.346</v>
      </c>
      <c r="I13" s="41" t="n">
        <f aca="false">MAX(0,I10-(I11-I12))</f>
        <v>11.65788</v>
      </c>
      <c r="J13" s="41" t="n">
        <f aca="false">MAX(0,J10-(J11-J12))</f>
        <v>16.95012</v>
      </c>
      <c r="K13" s="41" t="n">
        <f aca="false">MAX(0,K10-(K11-K12))</f>
        <v>12.39612</v>
      </c>
      <c r="L13" s="41" t="n">
        <f aca="false">MAX(0,L10-(L11-L12))</f>
        <v>12.696</v>
      </c>
      <c r="M13" s="41" t="n">
        <f aca="false">MAX(0,M10-(M11-M12))</f>
        <v>13.00788</v>
      </c>
      <c r="N13" s="41" t="n">
        <f aca="false">MAX(0,N10-(N11-N12))</f>
        <v>13.29612</v>
      </c>
      <c r="O13" s="41" t="n">
        <f aca="false">MAX(0,O10-(O11-O12))</f>
        <v>18.6</v>
      </c>
      <c r="P13" s="41" t="n">
        <f aca="false">MAX(0,P10-(P11-P12))</f>
        <v>19.05</v>
      </c>
      <c r="Q13" s="41" t="n">
        <f aca="false">MAX(0,Q10-(Q11-Q12))</f>
        <v>19.5</v>
      </c>
      <c r="R13" s="41" t="n">
        <f aca="false">MAX(0,R10-(R11-R12))</f>
        <v>19.95</v>
      </c>
      <c r="S13" s="41" t="n">
        <f aca="false">MAX(0,S10-(S11-S12))</f>
        <v>20.4</v>
      </c>
      <c r="T13" s="41" t="n">
        <f aca="false">MAX(0,T10-(T11-T12))</f>
        <v>20.85</v>
      </c>
      <c r="U13" s="41" t="n">
        <f aca="false">MAX(0,U10-(U11-U12))</f>
        <v>21.3</v>
      </c>
      <c r="V13" s="41" t="n">
        <f aca="false">MAX(0,V10-(V11-V12))</f>
        <v>21.75</v>
      </c>
      <c r="W13" s="41" t="n">
        <f aca="false">MAX(0,W10-(W11-W12))</f>
        <v>22.2</v>
      </c>
      <c r="X13" s="41" t="n">
        <f aca="false">MAX(0,X10-(X11-X12))</f>
        <v>22.65</v>
      </c>
      <c r="Y13" s="41" t="n">
        <f aca="false">MAX(0,Y10-(Y11-Y12))</f>
        <v>23.1</v>
      </c>
      <c r="Z13" s="41" t="n">
        <f aca="false">MAX(0,Z10-(Z11-Z12))</f>
        <v>23.55</v>
      </c>
      <c r="AA13" s="41" t="n">
        <f aca="false">MAX(0,AA10-(AA11-AA12))</f>
        <v>34</v>
      </c>
      <c r="AB13" s="41" t="n">
        <f aca="false">MAX(0,AB10-(AB11-AB12))</f>
        <v>34.75</v>
      </c>
      <c r="AC13" s="41" t="n">
        <f aca="false">MAX(0,AC10-(AC11-AC12))</f>
        <v>35.5</v>
      </c>
      <c r="AD13" s="41" t="n">
        <f aca="false">MAX(0,AD10-(AD11-AD12))</f>
        <v>36.25</v>
      </c>
      <c r="AE13" s="41" t="n">
        <f aca="false">MAX(0,AE10-(AE11-AE12))</f>
        <v>37</v>
      </c>
      <c r="AF13" s="41" t="n">
        <f aca="false">MAX(0,AF10-(AF11-AF12))</f>
        <v>37.75</v>
      </c>
      <c r="AG13" s="41" t="n">
        <f aca="false">MAX(0,AG10-(AG11-AG12))</f>
        <v>38.5</v>
      </c>
      <c r="AH13" s="41" t="n">
        <f aca="false">MAX(0,AH10-(AH11-AH12))</f>
        <v>39.25</v>
      </c>
      <c r="AI13" s="41" t="n">
        <f aca="false">MAX(0,AI10-(AI11-AI12))</f>
        <v>40</v>
      </c>
      <c r="AJ13" s="41" t="n">
        <f aca="false">MAX(0,AJ10-(AJ11-AJ12))</f>
        <v>40.75</v>
      </c>
      <c r="AK13" s="41" t="n">
        <f aca="false">MAX(0,AK10-(AK11-AK12))</f>
        <v>41.5</v>
      </c>
      <c r="AL13" s="41" t="n">
        <f aca="false">MAX(0,AL10-(AL11-AL12))</f>
        <v>42.25</v>
      </c>
      <c r="AM13" s="41" t="n">
        <f aca="false">MAX(0,AM10-(AM11-AM12))</f>
        <v>43</v>
      </c>
      <c r="AN13" s="41" t="n">
        <f aca="false">MAX(0,AN10-(AN11-AN12))</f>
        <v>43.75</v>
      </c>
      <c r="AO13" s="41" t="n">
        <f aca="false">MAX(0,AO10-(AO11-AO12))</f>
        <v>44.5</v>
      </c>
      <c r="AP13" s="41" t="n">
        <f aca="false">MAX(0,AP10-(AP11-AP12))</f>
        <v>45.25</v>
      </c>
      <c r="AQ13" s="41" t="n">
        <f aca="false">MAX(0,AQ10-(AQ11-AQ12))</f>
        <v>46</v>
      </c>
      <c r="AR13" s="41" t="n">
        <f aca="false">MAX(0,AR10-(AR11-AR12))</f>
        <v>46.75</v>
      </c>
      <c r="AS13" s="41" t="n">
        <f aca="false">MAX(0,AS10-(AS11-AS12))</f>
        <v>47.5</v>
      </c>
      <c r="AT13" s="41" t="n">
        <f aca="false">MAX(0,AT10-(AT11-AT12))</f>
        <v>48.25</v>
      </c>
      <c r="AU13" s="41" t="n">
        <f aca="false">MAX(0,AU10-(AU11-AU12))</f>
        <v>49</v>
      </c>
      <c r="AV13" s="41" t="n">
        <f aca="false">MAX(0,AV10-(AV11-AV12))</f>
        <v>49.75</v>
      </c>
      <c r="AW13" s="41" t="n">
        <f aca="false">MAX(0,AW10-(AW11-AW12))</f>
        <v>50.5</v>
      </c>
      <c r="AX13" s="41" t="n">
        <f aca="false">MAX(0,AX10-(AX11-AX12))</f>
        <v>51.25</v>
      </c>
      <c r="AY13" s="41" t="n">
        <f aca="false">MAX(0,AY10-(AY11-AY12))</f>
        <v>52</v>
      </c>
      <c r="AZ13" s="41" t="n">
        <f aca="false">MAX(0,AZ10-(AZ11-AZ12))</f>
        <v>52.75</v>
      </c>
      <c r="BA13" s="41" t="n">
        <f aca="false">MAX(0,BA10-(BA11-BA12))</f>
        <v>53.5</v>
      </c>
      <c r="BB13" s="41" t="n">
        <f aca="false">MAX(0,BB10-(BB11-BB12))</f>
        <v>54.25</v>
      </c>
      <c r="BC13" s="41" t="n">
        <f aca="false">MAX(0,BC10-(BC11-BC12))</f>
        <v>55</v>
      </c>
      <c r="BD13" s="41" t="n">
        <f aca="false">MAX(0,BD10-(BD11-BD12))</f>
        <v>55.75</v>
      </c>
      <c r="BE13" s="41" t="n">
        <f aca="false">MAX(0,BE10-(BE11-BE12))</f>
        <v>56.5</v>
      </c>
      <c r="BF13" s="41" t="n">
        <f aca="false">MAX(0,BF10-(BF11-BF12))</f>
        <v>57.25</v>
      </c>
      <c r="BG13" s="41" t="n">
        <f aca="false">MAX(0,BG10-(BG11-BG12))</f>
        <v>58</v>
      </c>
      <c r="BH13" s="41" t="n">
        <f aca="false">MAX(0,BH10-(BH11-BH12))</f>
        <v>58.75</v>
      </c>
      <c r="BI13" s="41" t="n">
        <f aca="false">MAX(0,BI10-(BI11-BI12))</f>
        <v>59.5</v>
      </c>
      <c r="BJ13" s="41" t="n">
        <f aca="false">MAX(0,BJ10-(BJ11-BJ12))</f>
        <v>60.25</v>
      </c>
    </row>
    <row r="14" customFormat="false" ht="15" hidden="false" customHeight="true" outlineLevel="0" collapsed="false">
      <c r="A14" s="16" t="s">
        <v>245</v>
      </c>
      <c r="B14" s="7" t="s">
        <v>73</v>
      </c>
      <c r="C14" s="42" t="n">
        <f aca="false">C11-C12+C13</f>
        <v>9.996</v>
      </c>
      <c r="D14" s="42" t="n">
        <f aca="false">D11-D12+D13</f>
        <v>15</v>
      </c>
      <c r="E14" s="42" t="n">
        <f aca="false">E11-E12+E13</f>
        <v>24.996</v>
      </c>
      <c r="F14" s="42" t="n">
        <f aca="false">F11-F12+F13</f>
        <v>35.004</v>
      </c>
      <c r="G14" s="42" t="n">
        <f aca="false">G11-G12+G13</f>
        <v>45</v>
      </c>
      <c r="H14" s="42" t="n">
        <f aca="false">H11-H12+H13</f>
        <v>54.996</v>
      </c>
      <c r="I14" s="42" t="n">
        <f aca="false">I11-I12+I13</f>
        <v>65.004</v>
      </c>
      <c r="J14" s="42" t="n">
        <f aca="false">J11-J12+J13</f>
        <v>80.004</v>
      </c>
      <c r="K14" s="42" t="n">
        <f aca="false">K11-K12+K13</f>
        <v>90</v>
      </c>
      <c r="L14" s="42" t="n">
        <f aca="false">L11-L12+L13</f>
        <v>99.996</v>
      </c>
      <c r="M14" s="42" t="n">
        <f aca="false">M11-M12+M13</f>
        <v>110.004</v>
      </c>
      <c r="N14" s="42" t="n">
        <f aca="false">N11-N12+N13</f>
        <v>120</v>
      </c>
      <c r="O14" s="42" t="n">
        <f aca="false">O11-O12+O13</f>
        <v>135</v>
      </c>
      <c r="P14" s="42" t="n">
        <f aca="false">P11-P12+P13</f>
        <v>150</v>
      </c>
      <c r="Q14" s="42" t="n">
        <f aca="false">Q11-Q12+Q13</f>
        <v>165</v>
      </c>
      <c r="R14" s="42" t="n">
        <f aca="false">R11-R12+R13</f>
        <v>180</v>
      </c>
      <c r="S14" s="42" t="n">
        <f aca="false">S11-S12+S13</f>
        <v>195</v>
      </c>
      <c r="T14" s="42" t="n">
        <f aca="false">T11-T12+T13</f>
        <v>210</v>
      </c>
      <c r="U14" s="42" t="n">
        <f aca="false">U11-U12+U13</f>
        <v>225</v>
      </c>
      <c r="V14" s="42" t="n">
        <f aca="false">V11-V12+V13</f>
        <v>240</v>
      </c>
      <c r="W14" s="42" t="n">
        <f aca="false">W11-W12+W13</f>
        <v>255</v>
      </c>
      <c r="X14" s="42" t="n">
        <f aca="false">X11-X12+X13</f>
        <v>270</v>
      </c>
      <c r="Y14" s="42" t="n">
        <f aca="false">Y11-Y12+Y13</f>
        <v>285</v>
      </c>
      <c r="Z14" s="42" t="n">
        <f aca="false">Z11-Z12+Z13</f>
        <v>300</v>
      </c>
      <c r="AA14" s="42" t="n">
        <f aca="false">AA11-AA12+AA13</f>
        <v>325</v>
      </c>
      <c r="AB14" s="42" t="n">
        <f aca="false">AB11-AB12+AB13</f>
        <v>350</v>
      </c>
      <c r="AC14" s="42" t="n">
        <f aca="false">AC11-AC12+AC13</f>
        <v>375</v>
      </c>
      <c r="AD14" s="42" t="n">
        <f aca="false">AD11-AD12+AD13</f>
        <v>400</v>
      </c>
      <c r="AE14" s="42" t="n">
        <f aca="false">AE11-AE12+AE13</f>
        <v>425</v>
      </c>
      <c r="AF14" s="42" t="n">
        <f aca="false">AF11-AF12+AF13</f>
        <v>450</v>
      </c>
      <c r="AG14" s="42" t="n">
        <f aca="false">AG11-AG12+AG13</f>
        <v>475</v>
      </c>
      <c r="AH14" s="42" t="n">
        <f aca="false">AH11-AH12+AH13</f>
        <v>500</v>
      </c>
      <c r="AI14" s="42" t="n">
        <f aca="false">AI11-AI12+AI13</f>
        <v>525</v>
      </c>
      <c r="AJ14" s="42" t="n">
        <f aca="false">AJ11-AJ12+AJ13</f>
        <v>550</v>
      </c>
      <c r="AK14" s="42" t="n">
        <f aca="false">AK11-AK12+AK13</f>
        <v>575</v>
      </c>
      <c r="AL14" s="42" t="n">
        <f aca="false">AL11-AL12+AL13</f>
        <v>600</v>
      </c>
      <c r="AM14" s="42" t="n">
        <f aca="false">AM11-AM12+AM13</f>
        <v>625</v>
      </c>
      <c r="AN14" s="42" t="n">
        <f aca="false">AN11-AN12+AN13</f>
        <v>650</v>
      </c>
      <c r="AO14" s="42" t="n">
        <f aca="false">AO11-AO12+AO13</f>
        <v>675</v>
      </c>
      <c r="AP14" s="42" t="n">
        <f aca="false">AP11-AP12+AP13</f>
        <v>700</v>
      </c>
      <c r="AQ14" s="42" t="n">
        <f aca="false">AQ11-AQ12+AQ13</f>
        <v>725</v>
      </c>
      <c r="AR14" s="42" t="n">
        <f aca="false">AR11-AR12+AR13</f>
        <v>750</v>
      </c>
      <c r="AS14" s="42" t="n">
        <f aca="false">AS11-AS12+AS13</f>
        <v>775</v>
      </c>
      <c r="AT14" s="42" t="n">
        <f aca="false">AT11-AT12+AT13</f>
        <v>800</v>
      </c>
      <c r="AU14" s="42" t="n">
        <f aca="false">AU11-AU12+AU13</f>
        <v>825</v>
      </c>
      <c r="AV14" s="42" t="n">
        <f aca="false">AV11-AV12+AV13</f>
        <v>850</v>
      </c>
      <c r="AW14" s="42" t="n">
        <f aca="false">AW11-AW12+AW13</f>
        <v>875</v>
      </c>
      <c r="AX14" s="42" t="n">
        <f aca="false">AX11-AX12+AX13</f>
        <v>900</v>
      </c>
      <c r="AY14" s="42" t="n">
        <f aca="false">AY11-AY12+AY13</f>
        <v>925</v>
      </c>
      <c r="AZ14" s="42" t="n">
        <f aca="false">AZ11-AZ12+AZ13</f>
        <v>950</v>
      </c>
      <c r="BA14" s="42" t="n">
        <f aca="false">BA11-BA12+BA13</f>
        <v>975</v>
      </c>
      <c r="BB14" s="42" t="n">
        <f aca="false">BB11-BB12+BB13</f>
        <v>1000</v>
      </c>
      <c r="BC14" s="42" t="n">
        <f aca="false">BC11-BC12+BC13</f>
        <v>1025</v>
      </c>
      <c r="BD14" s="42" t="n">
        <f aca="false">BD11-BD12+BD13</f>
        <v>1050</v>
      </c>
      <c r="BE14" s="42" t="n">
        <f aca="false">BE11-BE12+BE13</f>
        <v>1075</v>
      </c>
      <c r="BF14" s="42" t="n">
        <f aca="false">BF11-BF12+BF13</f>
        <v>1100</v>
      </c>
      <c r="BG14" s="42" t="n">
        <f aca="false">BG11-BG12+BG13</f>
        <v>1125</v>
      </c>
      <c r="BH14" s="42" t="n">
        <f aca="false">BH11-BH12+BH13</f>
        <v>1150</v>
      </c>
      <c r="BI14" s="42" t="n">
        <f aca="false">BI11-BI12+BI13</f>
        <v>1175</v>
      </c>
      <c r="BJ14" s="42" t="n">
        <f aca="false">BJ11-BJ12+BJ13</f>
        <v>1200</v>
      </c>
    </row>
    <row r="16" customFormat="false" ht="15" hidden="false" customHeight="true" outlineLevel="0" collapsed="false">
      <c r="A16" s="28" t="s">
        <v>246</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row>
    <row r="17" customFormat="false" ht="15" hidden="false" customHeight="true" outlineLevel="0" collapsed="false">
      <c r="A17" s="10" t="s">
        <v>247</v>
      </c>
      <c r="B17" s="7" t="s">
        <v>146</v>
      </c>
      <c r="C17" s="43" t="n">
        <f aca="false">Supuestos!$C$26*(1+Supuestos!$C$27)^(C6-1)</f>
        <v>39900</v>
      </c>
      <c r="D17" s="43" t="n">
        <f aca="false">Supuestos!$C$26*(1+Supuestos!$C$27)^(D6-1)</f>
        <v>39900</v>
      </c>
      <c r="E17" s="43" t="n">
        <f aca="false">Supuestos!$C$26*(1+Supuestos!$C$27)^(E6-1)</f>
        <v>39900</v>
      </c>
      <c r="F17" s="43" t="n">
        <f aca="false">Supuestos!$C$26*(1+Supuestos!$C$27)^(F6-1)</f>
        <v>39900</v>
      </c>
      <c r="G17" s="43" t="n">
        <f aca="false">Supuestos!$C$26*(1+Supuestos!$C$27)^(G6-1)</f>
        <v>39900</v>
      </c>
      <c r="H17" s="43" t="n">
        <f aca="false">Supuestos!$C$26*(1+Supuestos!$C$27)^(H6-1)</f>
        <v>39900</v>
      </c>
      <c r="I17" s="43" t="n">
        <f aca="false">Supuestos!$C$26*(1+Supuestos!$C$27)^(I6-1)</f>
        <v>39900</v>
      </c>
      <c r="J17" s="43" t="n">
        <f aca="false">Supuestos!$C$26*(1+Supuestos!$C$27)^(J6-1)</f>
        <v>39900</v>
      </c>
      <c r="K17" s="43" t="n">
        <f aca="false">Supuestos!$C$26*(1+Supuestos!$C$27)^(K6-1)</f>
        <v>39900</v>
      </c>
      <c r="L17" s="43" t="n">
        <f aca="false">Supuestos!$C$26*(1+Supuestos!$C$27)^(L6-1)</f>
        <v>39900</v>
      </c>
      <c r="M17" s="43" t="n">
        <f aca="false">Supuestos!$C$26*(1+Supuestos!$C$27)^(M6-1)</f>
        <v>39900</v>
      </c>
      <c r="N17" s="43" t="n">
        <f aca="false">Supuestos!$C$26*(1+Supuestos!$C$27)^(N6-1)</f>
        <v>39900</v>
      </c>
      <c r="O17" s="43" t="n">
        <f aca="false">Supuestos!$C$26*(1+Supuestos!$C$27)^(O6-1)</f>
        <v>41895</v>
      </c>
      <c r="P17" s="43" t="n">
        <f aca="false">Supuestos!$C$26*(1+Supuestos!$C$27)^(P6-1)</f>
        <v>41895</v>
      </c>
      <c r="Q17" s="43" t="n">
        <f aca="false">Supuestos!$C$26*(1+Supuestos!$C$27)^(Q6-1)</f>
        <v>41895</v>
      </c>
      <c r="R17" s="43" t="n">
        <f aca="false">Supuestos!$C$26*(1+Supuestos!$C$27)^(R6-1)</f>
        <v>41895</v>
      </c>
      <c r="S17" s="43" t="n">
        <f aca="false">Supuestos!$C$26*(1+Supuestos!$C$27)^(S6-1)</f>
        <v>41895</v>
      </c>
      <c r="T17" s="43" t="n">
        <f aca="false">Supuestos!$C$26*(1+Supuestos!$C$27)^(T6-1)</f>
        <v>41895</v>
      </c>
      <c r="U17" s="43" t="n">
        <f aca="false">Supuestos!$C$26*(1+Supuestos!$C$27)^(U6-1)</f>
        <v>41895</v>
      </c>
      <c r="V17" s="43" t="n">
        <f aca="false">Supuestos!$C$26*(1+Supuestos!$C$27)^(V6-1)</f>
        <v>41895</v>
      </c>
      <c r="W17" s="43" t="n">
        <f aca="false">Supuestos!$C$26*(1+Supuestos!$C$27)^(W6-1)</f>
        <v>41895</v>
      </c>
      <c r="X17" s="43" t="n">
        <f aca="false">Supuestos!$C$26*(1+Supuestos!$C$27)^(X6-1)</f>
        <v>41895</v>
      </c>
      <c r="Y17" s="43" t="n">
        <f aca="false">Supuestos!$C$26*(1+Supuestos!$C$27)^(Y6-1)</f>
        <v>41895</v>
      </c>
      <c r="Z17" s="43" t="n">
        <f aca="false">Supuestos!$C$26*(1+Supuestos!$C$27)^(Z6-1)</f>
        <v>41895</v>
      </c>
      <c r="AA17" s="43" t="n">
        <f aca="false">Supuestos!$C$26*(1+Supuestos!$C$27)^(AA6-1)</f>
        <v>43989.75</v>
      </c>
      <c r="AB17" s="43" t="n">
        <f aca="false">Supuestos!$C$26*(1+Supuestos!$C$27)^(AB6-1)</f>
        <v>43989.75</v>
      </c>
      <c r="AC17" s="43" t="n">
        <f aca="false">Supuestos!$C$26*(1+Supuestos!$C$27)^(AC6-1)</f>
        <v>43989.75</v>
      </c>
      <c r="AD17" s="43" t="n">
        <f aca="false">Supuestos!$C$26*(1+Supuestos!$C$27)^(AD6-1)</f>
        <v>43989.75</v>
      </c>
      <c r="AE17" s="43" t="n">
        <f aca="false">Supuestos!$C$26*(1+Supuestos!$C$27)^(AE6-1)</f>
        <v>43989.75</v>
      </c>
      <c r="AF17" s="43" t="n">
        <f aca="false">Supuestos!$C$26*(1+Supuestos!$C$27)^(AF6-1)</f>
        <v>43989.75</v>
      </c>
      <c r="AG17" s="43" t="n">
        <f aca="false">Supuestos!$C$26*(1+Supuestos!$C$27)^(AG6-1)</f>
        <v>43989.75</v>
      </c>
      <c r="AH17" s="43" t="n">
        <f aca="false">Supuestos!$C$26*(1+Supuestos!$C$27)^(AH6-1)</f>
        <v>43989.75</v>
      </c>
      <c r="AI17" s="43" t="n">
        <f aca="false">Supuestos!$C$26*(1+Supuestos!$C$27)^(AI6-1)</f>
        <v>43989.75</v>
      </c>
      <c r="AJ17" s="43" t="n">
        <f aca="false">Supuestos!$C$26*(1+Supuestos!$C$27)^(AJ6-1)</f>
        <v>43989.75</v>
      </c>
      <c r="AK17" s="43" t="n">
        <f aca="false">Supuestos!$C$26*(1+Supuestos!$C$27)^(AK6-1)</f>
        <v>43989.75</v>
      </c>
      <c r="AL17" s="43" t="n">
        <f aca="false">Supuestos!$C$26*(1+Supuestos!$C$27)^(AL6-1)</f>
        <v>43989.75</v>
      </c>
      <c r="AM17" s="43" t="n">
        <f aca="false">Supuestos!$C$26*(1+Supuestos!$C$27)^(AM6-1)</f>
        <v>46189.2375</v>
      </c>
      <c r="AN17" s="43" t="n">
        <f aca="false">Supuestos!$C$26*(1+Supuestos!$C$27)^(AN6-1)</f>
        <v>46189.2375</v>
      </c>
      <c r="AO17" s="43" t="n">
        <f aca="false">Supuestos!$C$26*(1+Supuestos!$C$27)^(AO6-1)</f>
        <v>46189.2375</v>
      </c>
      <c r="AP17" s="43" t="n">
        <f aca="false">Supuestos!$C$26*(1+Supuestos!$C$27)^(AP6-1)</f>
        <v>46189.2375</v>
      </c>
      <c r="AQ17" s="43" t="n">
        <f aca="false">Supuestos!$C$26*(1+Supuestos!$C$27)^(AQ6-1)</f>
        <v>46189.2375</v>
      </c>
      <c r="AR17" s="43" t="n">
        <f aca="false">Supuestos!$C$26*(1+Supuestos!$C$27)^(AR6-1)</f>
        <v>46189.2375</v>
      </c>
      <c r="AS17" s="43" t="n">
        <f aca="false">Supuestos!$C$26*(1+Supuestos!$C$27)^(AS6-1)</f>
        <v>46189.2375</v>
      </c>
      <c r="AT17" s="43" t="n">
        <f aca="false">Supuestos!$C$26*(1+Supuestos!$C$27)^(AT6-1)</f>
        <v>46189.2375</v>
      </c>
      <c r="AU17" s="43" t="n">
        <f aca="false">Supuestos!$C$26*(1+Supuestos!$C$27)^(AU6-1)</f>
        <v>46189.2375</v>
      </c>
      <c r="AV17" s="43" t="n">
        <f aca="false">Supuestos!$C$26*(1+Supuestos!$C$27)^(AV6-1)</f>
        <v>46189.2375</v>
      </c>
      <c r="AW17" s="43" t="n">
        <f aca="false">Supuestos!$C$26*(1+Supuestos!$C$27)^(AW6-1)</f>
        <v>46189.2375</v>
      </c>
      <c r="AX17" s="43" t="n">
        <f aca="false">Supuestos!$C$26*(1+Supuestos!$C$27)^(AX6-1)</f>
        <v>46189.2375</v>
      </c>
      <c r="AY17" s="43" t="n">
        <f aca="false">Supuestos!$C$26*(1+Supuestos!$C$27)^(AY6-1)</f>
        <v>48498.699375</v>
      </c>
      <c r="AZ17" s="43" t="n">
        <f aca="false">Supuestos!$C$26*(1+Supuestos!$C$27)^(AZ6-1)</f>
        <v>48498.699375</v>
      </c>
      <c r="BA17" s="43" t="n">
        <f aca="false">Supuestos!$C$26*(1+Supuestos!$C$27)^(BA6-1)</f>
        <v>48498.699375</v>
      </c>
      <c r="BB17" s="43" t="n">
        <f aca="false">Supuestos!$C$26*(1+Supuestos!$C$27)^(BB6-1)</f>
        <v>48498.699375</v>
      </c>
      <c r="BC17" s="43" t="n">
        <f aca="false">Supuestos!$C$26*(1+Supuestos!$C$27)^(BC6-1)</f>
        <v>48498.699375</v>
      </c>
      <c r="BD17" s="43" t="n">
        <f aca="false">Supuestos!$C$26*(1+Supuestos!$C$27)^(BD6-1)</f>
        <v>48498.699375</v>
      </c>
      <c r="BE17" s="43" t="n">
        <f aca="false">Supuestos!$C$26*(1+Supuestos!$C$27)^(BE6-1)</f>
        <v>48498.699375</v>
      </c>
      <c r="BF17" s="43" t="n">
        <f aca="false">Supuestos!$C$26*(1+Supuestos!$C$27)^(BF6-1)</f>
        <v>48498.699375</v>
      </c>
      <c r="BG17" s="43" t="n">
        <f aca="false">Supuestos!$C$26*(1+Supuestos!$C$27)^(BG6-1)</f>
        <v>48498.699375</v>
      </c>
      <c r="BH17" s="43" t="n">
        <f aca="false">Supuestos!$C$26*(1+Supuestos!$C$27)^(BH6-1)</f>
        <v>48498.699375</v>
      </c>
      <c r="BI17" s="43" t="n">
        <f aca="false">Supuestos!$C$26*(1+Supuestos!$C$27)^(BI6-1)</f>
        <v>48498.699375</v>
      </c>
      <c r="BJ17" s="43" t="n">
        <f aca="false">Supuestos!$C$26*(1+Supuestos!$C$27)^(BJ6-1)</f>
        <v>48498.699375</v>
      </c>
    </row>
    <row r="18" customFormat="false" ht="15" hidden="false" customHeight="true" outlineLevel="0" collapsed="false">
      <c r="A18" s="16" t="s">
        <v>57</v>
      </c>
      <c r="B18" s="7" t="s">
        <v>146</v>
      </c>
      <c r="C18" s="35" t="n">
        <f aca="false">C14*C17</f>
        <v>398840.4</v>
      </c>
      <c r="D18" s="35" t="n">
        <f aca="false">D14*D17</f>
        <v>598500</v>
      </c>
      <c r="E18" s="35" t="n">
        <f aca="false">E14*E17</f>
        <v>997340.4</v>
      </c>
      <c r="F18" s="35" t="n">
        <f aca="false">F14*F17</f>
        <v>1396659.6</v>
      </c>
      <c r="G18" s="35" t="n">
        <f aca="false">G14*G17</f>
        <v>1795500</v>
      </c>
      <c r="H18" s="35" t="n">
        <f aca="false">H14*H17</f>
        <v>2194340.4</v>
      </c>
      <c r="I18" s="35" t="n">
        <f aca="false">I14*I17</f>
        <v>2593659.6</v>
      </c>
      <c r="J18" s="35" t="n">
        <f aca="false">J14*J17</f>
        <v>3192159.6</v>
      </c>
      <c r="K18" s="35" t="n">
        <f aca="false">K14*K17</f>
        <v>3591000</v>
      </c>
      <c r="L18" s="35" t="n">
        <f aca="false">L14*L17</f>
        <v>3989840.4</v>
      </c>
      <c r="M18" s="35" t="n">
        <f aca="false">M14*M17</f>
        <v>4389159.6</v>
      </c>
      <c r="N18" s="35" t="n">
        <f aca="false">N14*N17</f>
        <v>4788000</v>
      </c>
      <c r="O18" s="35" t="n">
        <f aca="false">O14*O17</f>
        <v>5655825</v>
      </c>
      <c r="P18" s="35" t="n">
        <f aca="false">P14*P17</f>
        <v>6284250</v>
      </c>
      <c r="Q18" s="35" t="n">
        <f aca="false">Q14*Q17</f>
        <v>6912675</v>
      </c>
      <c r="R18" s="35" t="n">
        <f aca="false">R14*R17</f>
        <v>7541100</v>
      </c>
      <c r="S18" s="35" t="n">
        <f aca="false">S14*S17</f>
        <v>8169525</v>
      </c>
      <c r="T18" s="35" t="n">
        <f aca="false">T14*T17</f>
        <v>8797950</v>
      </c>
      <c r="U18" s="35" t="n">
        <f aca="false">U14*U17</f>
        <v>9426375</v>
      </c>
      <c r="V18" s="35" t="n">
        <f aca="false">V14*V17</f>
        <v>10054800</v>
      </c>
      <c r="W18" s="35" t="n">
        <f aca="false">W14*W17</f>
        <v>10683225</v>
      </c>
      <c r="X18" s="35" t="n">
        <f aca="false">X14*X17</f>
        <v>11311650</v>
      </c>
      <c r="Y18" s="35" t="n">
        <f aca="false">Y14*Y17</f>
        <v>11940075</v>
      </c>
      <c r="Z18" s="35" t="n">
        <f aca="false">Z14*Z17</f>
        <v>12568500</v>
      </c>
      <c r="AA18" s="35" t="n">
        <f aca="false">AA14*AA17</f>
        <v>14296668.75</v>
      </c>
      <c r="AB18" s="35" t="n">
        <f aca="false">AB14*AB17</f>
        <v>15396412.5</v>
      </c>
      <c r="AC18" s="35" t="n">
        <f aca="false">AC14*AC17</f>
        <v>16496156.25</v>
      </c>
      <c r="AD18" s="35" t="n">
        <f aca="false">AD14*AD17</f>
        <v>17595900</v>
      </c>
      <c r="AE18" s="35" t="n">
        <f aca="false">AE14*AE17</f>
        <v>18695643.75</v>
      </c>
      <c r="AF18" s="35" t="n">
        <f aca="false">AF14*AF17</f>
        <v>19795387.5</v>
      </c>
      <c r="AG18" s="35" t="n">
        <f aca="false">AG14*AG17</f>
        <v>20895131.25</v>
      </c>
      <c r="AH18" s="35" t="n">
        <f aca="false">AH14*AH17</f>
        <v>21994875</v>
      </c>
      <c r="AI18" s="35" t="n">
        <f aca="false">AI14*AI17</f>
        <v>23094618.75</v>
      </c>
      <c r="AJ18" s="35" t="n">
        <f aca="false">AJ14*AJ17</f>
        <v>24194362.5</v>
      </c>
      <c r="AK18" s="35" t="n">
        <f aca="false">AK14*AK17</f>
        <v>25294106.25</v>
      </c>
      <c r="AL18" s="35" t="n">
        <f aca="false">AL14*AL17</f>
        <v>26393850</v>
      </c>
      <c r="AM18" s="35" t="n">
        <f aca="false">AM14*AM17</f>
        <v>28868273.4375</v>
      </c>
      <c r="AN18" s="35" t="n">
        <f aca="false">AN14*AN17</f>
        <v>30023004.375</v>
      </c>
      <c r="AO18" s="35" t="n">
        <f aca="false">AO14*AO17</f>
        <v>31177735.3125</v>
      </c>
      <c r="AP18" s="35" t="n">
        <f aca="false">AP14*AP17</f>
        <v>32332466.25</v>
      </c>
      <c r="AQ18" s="35" t="n">
        <f aca="false">AQ14*AQ17</f>
        <v>33487197.1875</v>
      </c>
      <c r="AR18" s="35" t="n">
        <f aca="false">AR14*AR17</f>
        <v>34641928.125</v>
      </c>
      <c r="AS18" s="35" t="n">
        <f aca="false">AS14*AS17</f>
        <v>35796659.0625</v>
      </c>
      <c r="AT18" s="35" t="n">
        <f aca="false">AT14*AT17</f>
        <v>36951390</v>
      </c>
      <c r="AU18" s="35" t="n">
        <f aca="false">AU14*AU17</f>
        <v>38106120.9375</v>
      </c>
      <c r="AV18" s="35" t="n">
        <f aca="false">AV14*AV17</f>
        <v>39260851.875</v>
      </c>
      <c r="AW18" s="35" t="n">
        <f aca="false">AW14*AW17</f>
        <v>40415582.8125</v>
      </c>
      <c r="AX18" s="35" t="n">
        <f aca="false">AX14*AX17</f>
        <v>41570313.75</v>
      </c>
      <c r="AY18" s="35" t="n">
        <f aca="false">AY14*AY17</f>
        <v>44861296.921875</v>
      </c>
      <c r="AZ18" s="35" t="n">
        <f aca="false">AZ14*AZ17</f>
        <v>46073764.40625</v>
      </c>
      <c r="BA18" s="35" t="n">
        <f aca="false">BA14*BA17</f>
        <v>47286231.890625</v>
      </c>
      <c r="BB18" s="35" t="n">
        <f aca="false">BB14*BB17</f>
        <v>48498699.375</v>
      </c>
      <c r="BC18" s="35" t="n">
        <f aca="false">BC14*BC17</f>
        <v>49711166.859375</v>
      </c>
      <c r="BD18" s="35" t="n">
        <f aca="false">BD14*BD17</f>
        <v>50923634.34375</v>
      </c>
      <c r="BE18" s="35" t="n">
        <f aca="false">BE14*BE17</f>
        <v>52136101.828125</v>
      </c>
      <c r="BF18" s="35" t="n">
        <f aca="false">BF14*BF17</f>
        <v>53348569.3125</v>
      </c>
      <c r="BG18" s="35" t="n">
        <f aca="false">BG14*BG17</f>
        <v>54561036.796875</v>
      </c>
      <c r="BH18" s="35" t="n">
        <f aca="false">BH14*BH17</f>
        <v>55773504.28125</v>
      </c>
      <c r="BI18" s="35" t="n">
        <f aca="false">BI14*BI17</f>
        <v>56985971.765625</v>
      </c>
      <c r="BJ18" s="35" t="n">
        <f aca="false">BJ14*BJ17</f>
        <v>58198439.25</v>
      </c>
    </row>
    <row r="19" customFormat="false" ht="15" hidden="false" customHeight="true" outlineLevel="0" collapsed="false">
      <c r="A19" s="10" t="s">
        <v>248</v>
      </c>
      <c r="B19" s="7" t="s">
        <v>146</v>
      </c>
      <c r="C19" s="43" t="n">
        <f aca="false">C14*Supuestos!$C$29*(1+Supuestos!$C$39)^(C6-1)</f>
        <v>12495</v>
      </c>
      <c r="D19" s="43" t="n">
        <f aca="false">D14*Supuestos!$C$29*(1+Supuestos!$C$39)^(D6-1)</f>
        <v>18750</v>
      </c>
      <c r="E19" s="43" t="n">
        <f aca="false">E14*Supuestos!$C$29*(1+Supuestos!$C$39)^(E6-1)</f>
        <v>31245</v>
      </c>
      <c r="F19" s="43" t="n">
        <f aca="false">F14*Supuestos!$C$29*(1+Supuestos!$C$39)^(F6-1)</f>
        <v>43755</v>
      </c>
      <c r="G19" s="43" t="n">
        <f aca="false">G14*Supuestos!$C$29*(1+Supuestos!$C$39)^(G6-1)</f>
        <v>56250</v>
      </c>
      <c r="H19" s="43" t="n">
        <f aca="false">H14*Supuestos!$C$29*(1+Supuestos!$C$39)^(H6-1)</f>
        <v>68745</v>
      </c>
      <c r="I19" s="43" t="n">
        <f aca="false">I14*Supuestos!$C$29*(1+Supuestos!$C$39)^(I6-1)</f>
        <v>81255</v>
      </c>
      <c r="J19" s="43" t="n">
        <f aca="false">J14*Supuestos!$C$29*(1+Supuestos!$C$39)^(J6-1)</f>
        <v>100005</v>
      </c>
      <c r="K19" s="43" t="n">
        <f aca="false">K14*Supuestos!$C$29*(1+Supuestos!$C$39)^(K6-1)</f>
        <v>112500</v>
      </c>
      <c r="L19" s="43" t="n">
        <f aca="false">L14*Supuestos!$C$29*(1+Supuestos!$C$39)^(L6-1)</f>
        <v>124995</v>
      </c>
      <c r="M19" s="43" t="n">
        <f aca="false">M14*Supuestos!$C$29*(1+Supuestos!$C$39)^(M6-1)</f>
        <v>137505</v>
      </c>
      <c r="N19" s="43" t="n">
        <f aca="false">N14*Supuestos!$C$29*(1+Supuestos!$C$39)^(N6-1)</f>
        <v>150000</v>
      </c>
      <c r="O19" s="43" t="n">
        <f aca="false">O14*Supuestos!$C$29*(1+Supuestos!$C$39)^(O6-1)</f>
        <v>177187.5</v>
      </c>
      <c r="P19" s="43" t="n">
        <f aca="false">P14*Supuestos!$C$29*(1+Supuestos!$C$39)^(P6-1)</f>
        <v>196875</v>
      </c>
      <c r="Q19" s="43" t="n">
        <f aca="false">Q14*Supuestos!$C$29*(1+Supuestos!$C$39)^(Q6-1)</f>
        <v>216562.5</v>
      </c>
      <c r="R19" s="43" t="n">
        <f aca="false">R14*Supuestos!$C$29*(1+Supuestos!$C$39)^(R6-1)</f>
        <v>236250</v>
      </c>
      <c r="S19" s="43" t="n">
        <f aca="false">S14*Supuestos!$C$29*(1+Supuestos!$C$39)^(S6-1)</f>
        <v>255937.5</v>
      </c>
      <c r="T19" s="43" t="n">
        <f aca="false">T14*Supuestos!$C$29*(1+Supuestos!$C$39)^(T6-1)</f>
        <v>275625</v>
      </c>
      <c r="U19" s="43" t="n">
        <f aca="false">U14*Supuestos!$C$29*(1+Supuestos!$C$39)^(U6-1)</f>
        <v>295312.5</v>
      </c>
      <c r="V19" s="43" t="n">
        <f aca="false">V14*Supuestos!$C$29*(1+Supuestos!$C$39)^(V6-1)</f>
        <v>315000</v>
      </c>
      <c r="W19" s="43" t="n">
        <f aca="false">W14*Supuestos!$C$29*(1+Supuestos!$C$39)^(W6-1)</f>
        <v>334687.5</v>
      </c>
      <c r="X19" s="43" t="n">
        <f aca="false">X14*Supuestos!$C$29*(1+Supuestos!$C$39)^(X6-1)</f>
        <v>354375</v>
      </c>
      <c r="Y19" s="43" t="n">
        <f aca="false">Y14*Supuestos!$C$29*(1+Supuestos!$C$39)^(Y6-1)</f>
        <v>374062.5</v>
      </c>
      <c r="Z19" s="43" t="n">
        <f aca="false">Z14*Supuestos!$C$29*(1+Supuestos!$C$39)^(Z6-1)</f>
        <v>393750</v>
      </c>
      <c r="AA19" s="43" t="n">
        <f aca="false">AA14*Supuestos!$C$29*(1+Supuestos!$C$39)^(AA6-1)</f>
        <v>447890.625</v>
      </c>
      <c r="AB19" s="43" t="n">
        <f aca="false">AB14*Supuestos!$C$29*(1+Supuestos!$C$39)^(AB6-1)</f>
        <v>482343.75</v>
      </c>
      <c r="AC19" s="43" t="n">
        <f aca="false">AC14*Supuestos!$C$29*(1+Supuestos!$C$39)^(AC6-1)</f>
        <v>516796.875</v>
      </c>
      <c r="AD19" s="43" t="n">
        <f aca="false">AD14*Supuestos!$C$29*(1+Supuestos!$C$39)^(AD6-1)</f>
        <v>551250</v>
      </c>
      <c r="AE19" s="43" t="n">
        <f aca="false">AE14*Supuestos!$C$29*(1+Supuestos!$C$39)^(AE6-1)</f>
        <v>585703.125</v>
      </c>
      <c r="AF19" s="43" t="n">
        <f aca="false">AF14*Supuestos!$C$29*(1+Supuestos!$C$39)^(AF6-1)</f>
        <v>620156.25</v>
      </c>
      <c r="AG19" s="43" t="n">
        <f aca="false">AG14*Supuestos!$C$29*(1+Supuestos!$C$39)^(AG6-1)</f>
        <v>654609.375</v>
      </c>
      <c r="AH19" s="43" t="n">
        <f aca="false">AH14*Supuestos!$C$29*(1+Supuestos!$C$39)^(AH6-1)</f>
        <v>689062.5</v>
      </c>
      <c r="AI19" s="43" t="n">
        <f aca="false">AI14*Supuestos!$C$29*(1+Supuestos!$C$39)^(AI6-1)</f>
        <v>723515.625</v>
      </c>
      <c r="AJ19" s="43" t="n">
        <f aca="false">AJ14*Supuestos!$C$29*(1+Supuestos!$C$39)^(AJ6-1)</f>
        <v>757968.75</v>
      </c>
      <c r="AK19" s="43" t="n">
        <f aca="false">AK14*Supuestos!$C$29*(1+Supuestos!$C$39)^(AK6-1)</f>
        <v>792421.875</v>
      </c>
      <c r="AL19" s="43" t="n">
        <f aca="false">AL14*Supuestos!$C$29*(1+Supuestos!$C$39)^(AL6-1)</f>
        <v>826875</v>
      </c>
      <c r="AM19" s="43" t="n">
        <f aca="false">AM14*Supuestos!$C$29*(1+Supuestos!$C$39)^(AM6-1)</f>
        <v>904394.53125</v>
      </c>
      <c r="AN19" s="43" t="n">
        <f aca="false">AN14*Supuestos!$C$29*(1+Supuestos!$C$39)^(AN6-1)</f>
        <v>940570.3125</v>
      </c>
      <c r="AO19" s="43" t="n">
        <f aca="false">AO14*Supuestos!$C$29*(1+Supuestos!$C$39)^(AO6-1)</f>
        <v>976746.09375</v>
      </c>
      <c r="AP19" s="43" t="n">
        <f aca="false">AP14*Supuestos!$C$29*(1+Supuestos!$C$39)^(AP6-1)</f>
        <v>1012921.875</v>
      </c>
      <c r="AQ19" s="43" t="n">
        <f aca="false">AQ14*Supuestos!$C$29*(1+Supuestos!$C$39)^(AQ6-1)</f>
        <v>1049097.65625</v>
      </c>
      <c r="AR19" s="43" t="n">
        <f aca="false">AR14*Supuestos!$C$29*(1+Supuestos!$C$39)^(AR6-1)</f>
        <v>1085273.4375</v>
      </c>
      <c r="AS19" s="43" t="n">
        <f aca="false">AS14*Supuestos!$C$29*(1+Supuestos!$C$39)^(AS6-1)</f>
        <v>1121449.21875</v>
      </c>
      <c r="AT19" s="43" t="n">
        <f aca="false">AT14*Supuestos!$C$29*(1+Supuestos!$C$39)^(AT6-1)</f>
        <v>1157625</v>
      </c>
      <c r="AU19" s="43" t="n">
        <f aca="false">AU14*Supuestos!$C$29*(1+Supuestos!$C$39)^(AU6-1)</f>
        <v>1193800.78125</v>
      </c>
      <c r="AV19" s="43" t="n">
        <f aca="false">AV14*Supuestos!$C$29*(1+Supuestos!$C$39)^(AV6-1)</f>
        <v>1229976.5625</v>
      </c>
      <c r="AW19" s="43" t="n">
        <f aca="false">AW14*Supuestos!$C$29*(1+Supuestos!$C$39)^(AW6-1)</f>
        <v>1266152.34375</v>
      </c>
      <c r="AX19" s="43" t="n">
        <f aca="false">AX14*Supuestos!$C$29*(1+Supuestos!$C$39)^(AX6-1)</f>
        <v>1302328.125</v>
      </c>
      <c r="AY19" s="43" t="n">
        <f aca="false">AY14*Supuestos!$C$29*(1+Supuestos!$C$39)^(AY6-1)</f>
        <v>1405429.1015625</v>
      </c>
      <c r="AZ19" s="43" t="n">
        <f aca="false">AZ14*Supuestos!$C$29*(1+Supuestos!$C$39)^(AZ6-1)</f>
        <v>1443413.671875</v>
      </c>
      <c r="BA19" s="43" t="n">
        <f aca="false">BA14*Supuestos!$C$29*(1+Supuestos!$C$39)^(BA6-1)</f>
        <v>1481398.2421875</v>
      </c>
      <c r="BB19" s="43" t="n">
        <f aca="false">BB14*Supuestos!$C$29*(1+Supuestos!$C$39)^(BB6-1)</f>
        <v>1519382.8125</v>
      </c>
      <c r="BC19" s="43" t="n">
        <f aca="false">BC14*Supuestos!$C$29*(1+Supuestos!$C$39)^(BC6-1)</f>
        <v>1557367.3828125</v>
      </c>
      <c r="BD19" s="43" t="n">
        <f aca="false">BD14*Supuestos!$C$29*(1+Supuestos!$C$39)^(BD6-1)</f>
        <v>1595351.953125</v>
      </c>
      <c r="BE19" s="43" t="n">
        <f aca="false">BE14*Supuestos!$C$29*(1+Supuestos!$C$39)^(BE6-1)</f>
        <v>1633336.5234375</v>
      </c>
      <c r="BF19" s="43" t="n">
        <f aca="false">BF14*Supuestos!$C$29*(1+Supuestos!$C$39)^(BF6-1)</f>
        <v>1671321.09375</v>
      </c>
      <c r="BG19" s="43" t="n">
        <f aca="false">BG14*Supuestos!$C$29*(1+Supuestos!$C$39)^(BG6-1)</f>
        <v>1709305.6640625</v>
      </c>
      <c r="BH19" s="43" t="n">
        <f aca="false">BH14*Supuestos!$C$29*(1+Supuestos!$C$39)^(BH6-1)</f>
        <v>1747290.234375</v>
      </c>
      <c r="BI19" s="43" t="n">
        <f aca="false">BI14*Supuestos!$C$29*(1+Supuestos!$C$39)^(BI6-1)</f>
        <v>1785274.8046875</v>
      </c>
      <c r="BJ19" s="43" t="n">
        <f aca="false">BJ14*Supuestos!$C$29*(1+Supuestos!$C$39)^(BJ6-1)</f>
        <v>1823259.375</v>
      </c>
    </row>
    <row r="20" customFormat="false" ht="15" hidden="false" customHeight="true" outlineLevel="0" collapsed="false">
      <c r="A20" s="10" t="s">
        <v>67</v>
      </c>
      <c r="B20" s="7" t="s">
        <v>146</v>
      </c>
      <c r="C20" s="43" t="n">
        <f aca="false">C18*Supuestos!$C$30</f>
        <v>11965.212</v>
      </c>
      <c r="D20" s="43" t="n">
        <f aca="false">D18*Supuestos!$C$30</f>
        <v>17955</v>
      </c>
      <c r="E20" s="43" t="n">
        <f aca="false">E18*Supuestos!$C$30</f>
        <v>29920.212</v>
      </c>
      <c r="F20" s="43" t="n">
        <f aca="false">F18*Supuestos!$C$30</f>
        <v>41899.788</v>
      </c>
      <c r="G20" s="43" t="n">
        <f aca="false">G18*Supuestos!$C$30</f>
        <v>53865</v>
      </c>
      <c r="H20" s="43" t="n">
        <f aca="false">H18*Supuestos!$C$30</f>
        <v>65830.212</v>
      </c>
      <c r="I20" s="43" t="n">
        <f aca="false">I18*Supuestos!$C$30</f>
        <v>77809.788</v>
      </c>
      <c r="J20" s="43" t="n">
        <f aca="false">J18*Supuestos!$C$30</f>
        <v>95764.788</v>
      </c>
      <c r="K20" s="43" t="n">
        <f aca="false">K18*Supuestos!$C$30</f>
        <v>107730</v>
      </c>
      <c r="L20" s="43" t="n">
        <f aca="false">L18*Supuestos!$C$30</f>
        <v>119695.212</v>
      </c>
      <c r="M20" s="43" t="n">
        <f aca="false">M18*Supuestos!$C$30</f>
        <v>131674.788</v>
      </c>
      <c r="N20" s="43" t="n">
        <f aca="false">N18*Supuestos!$C$30</f>
        <v>143640</v>
      </c>
      <c r="O20" s="43" t="n">
        <f aca="false">O18*Supuestos!$C$30</f>
        <v>169674.75</v>
      </c>
      <c r="P20" s="43" t="n">
        <f aca="false">P18*Supuestos!$C$30</f>
        <v>188527.5</v>
      </c>
      <c r="Q20" s="43" t="n">
        <f aca="false">Q18*Supuestos!$C$30</f>
        <v>207380.25</v>
      </c>
      <c r="R20" s="43" t="n">
        <f aca="false">R18*Supuestos!$C$30</f>
        <v>226233</v>
      </c>
      <c r="S20" s="43" t="n">
        <f aca="false">S18*Supuestos!$C$30</f>
        <v>245085.75</v>
      </c>
      <c r="T20" s="43" t="n">
        <f aca="false">T18*Supuestos!$C$30</f>
        <v>263938.5</v>
      </c>
      <c r="U20" s="43" t="n">
        <f aca="false">U18*Supuestos!$C$30</f>
        <v>282791.25</v>
      </c>
      <c r="V20" s="43" t="n">
        <f aca="false">V18*Supuestos!$C$30</f>
        <v>301644</v>
      </c>
      <c r="W20" s="43" t="n">
        <f aca="false">W18*Supuestos!$C$30</f>
        <v>320496.75</v>
      </c>
      <c r="X20" s="43" t="n">
        <f aca="false">X18*Supuestos!$C$30</f>
        <v>339349.5</v>
      </c>
      <c r="Y20" s="43" t="n">
        <f aca="false">Y18*Supuestos!$C$30</f>
        <v>358202.25</v>
      </c>
      <c r="Z20" s="43" t="n">
        <f aca="false">Z18*Supuestos!$C$30</f>
        <v>377055</v>
      </c>
      <c r="AA20" s="43" t="n">
        <f aca="false">AA18*Supuestos!$C$30</f>
        <v>428900.0625</v>
      </c>
      <c r="AB20" s="43" t="n">
        <f aca="false">AB18*Supuestos!$C$30</f>
        <v>461892.375</v>
      </c>
      <c r="AC20" s="43" t="n">
        <f aca="false">AC18*Supuestos!$C$30</f>
        <v>494884.6875</v>
      </c>
      <c r="AD20" s="43" t="n">
        <f aca="false">AD18*Supuestos!$C$30</f>
        <v>527877</v>
      </c>
      <c r="AE20" s="43" t="n">
        <f aca="false">AE18*Supuestos!$C$30</f>
        <v>560869.3125</v>
      </c>
      <c r="AF20" s="43" t="n">
        <f aca="false">AF18*Supuestos!$C$30</f>
        <v>593861.625</v>
      </c>
      <c r="AG20" s="43" t="n">
        <f aca="false">AG18*Supuestos!$C$30</f>
        <v>626853.9375</v>
      </c>
      <c r="AH20" s="43" t="n">
        <f aca="false">AH18*Supuestos!$C$30</f>
        <v>659846.25</v>
      </c>
      <c r="AI20" s="43" t="n">
        <f aca="false">AI18*Supuestos!$C$30</f>
        <v>692838.5625</v>
      </c>
      <c r="AJ20" s="43" t="n">
        <f aca="false">AJ18*Supuestos!$C$30</f>
        <v>725830.875</v>
      </c>
      <c r="AK20" s="43" t="n">
        <f aca="false">AK18*Supuestos!$C$30</f>
        <v>758823.1875</v>
      </c>
      <c r="AL20" s="43" t="n">
        <f aca="false">AL18*Supuestos!$C$30</f>
        <v>791815.5</v>
      </c>
      <c r="AM20" s="43" t="n">
        <f aca="false">AM18*Supuestos!$C$30</f>
        <v>866048.203125</v>
      </c>
      <c r="AN20" s="43" t="n">
        <f aca="false">AN18*Supuestos!$C$30</f>
        <v>900690.13125</v>
      </c>
      <c r="AO20" s="43" t="n">
        <f aca="false">AO18*Supuestos!$C$30</f>
        <v>935332.059375</v>
      </c>
      <c r="AP20" s="43" t="n">
        <f aca="false">AP18*Supuestos!$C$30</f>
        <v>969973.9875</v>
      </c>
      <c r="AQ20" s="43" t="n">
        <f aca="false">AQ18*Supuestos!$C$30</f>
        <v>1004615.915625</v>
      </c>
      <c r="AR20" s="43" t="n">
        <f aca="false">AR18*Supuestos!$C$30</f>
        <v>1039257.84375</v>
      </c>
      <c r="AS20" s="43" t="n">
        <f aca="false">AS18*Supuestos!$C$30</f>
        <v>1073899.771875</v>
      </c>
      <c r="AT20" s="43" t="n">
        <f aca="false">AT18*Supuestos!$C$30</f>
        <v>1108541.7</v>
      </c>
      <c r="AU20" s="43" t="n">
        <f aca="false">AU18*Supuestos!$C$30</f>
        <v>1143183.628125</v>
      </c>
      <c r="AV20" s="43" t="n">
        <f aca="false">AV18*Supuestos!$C$30</f>
        <v>1177825.55625</v>
      </c>
      <c r="AW20" s="43" t="n">
        <f aca="false">AW18*Supuestos!$C$30</f>
        <v>1212467.484375</v>
      </c>
      <c r="AX20" s="43" t="n">
        <f aca="false">AX18*Supuestos!$C$30</f>
        <v>1247109.4125</v>
      </c>
      <c r="AY20" s="43" t="n">
        <f aca="false">AY18*Supuestos!$C$30</f>
        <v>1345838.90765625</v>
      </c>
      <c r="AZ20" s="43" t="n">
        <f aca="false">AZ18*Supuestos!$C$30</f>
        <v>1382212.9321875</v>
      </c>
      <c r="BA20" s="43" t="n">
        <f aca="false">BA18*Supuestos!$C$30</f>
        <v>1418586.95671875</v>
      </c>
      <c r="BB20" s="43" t="n">
        <f aca="false">BB18*Supuestos!$C$30</f>
        <v>1454960.98125</v>
      </c>
      <c r="BC20" s="43" t="n">
        <f aca="false">BC18*Supuestos!$C$30</f>
        <v>1491335.00578125</v>
      </c>
      <c r="BD20" s="43" t="n">
        <f aca="false">BD18*Supuestos!$C$30</f>
        <v>1527709.0303125</v>
      </c>
      <c r="BE20" s="43" t="n">
        <f aca="false">BE18*Supuestos!$C$30</f>
        <v>1564083.05484375</v>
      </c>
      <c r="BF20" s="43" t="n">
        <f aca="false">BF18*Supuestos!$C$30</f>
        <v>1600457.079375</v>
      </c>
      <c r="BG20" s="43" t="n">
        <f aca="false">BG18*Supuestos!$C$30</f>
        <v>1636831.10390625</v>
      </c>
      <c r="BH20" s="43" t="n">
        <f aca="false">BH18*Supuestos!$C$30</f>
        <v>1673205.1284375</v>
      </c>
      <c r="BI20" s="43" t="n">
        <f aca="false">BI18*Supuestos!$C$30</f>
        <v>1709579.15296875</v>
      </c>
      <c r="BJ20" s="43" t="n">
        <f aca="false">BJ18*Supuestos!$C$30</f>
        <v>1745953.1775</v>
      </c>
    </row>
    <row r="21" customFormat="false" ht="15" hidden="false" customHeight="true" outlineLevel="0" collapsed="false">
      <c r="A21" s="10" t="s">
        <v>249</v>
      </c>
      <c r="B21" s="7" t="s">
        <v>146</v>
      </c>
      <c r="C21" s="43" t="n">
        <f aca="false">IF(C14&lt;=Supuestos!$C$32,Supuestos!$C$31,IF(C14&lt;=Supuestos!$C$34,Supuestos!$C$33,Supuestos!$C$35))</f>
        <v>220000</v>
      </c>
      <c r="D21" s="43" t="n">
        <f aca="false">IF(D14&lt;=Supuestos!$C$32,Supuestos!$C$31,IF(D14&lt;=Supuestos!$C$34,Supuestos!$C$33,Supuestos!$C$35))</f>
        <v>220000</v>
      </c>
      <c r="E21" s="43" t="n">
        <f aca="false">IF(E14&lt;=Supuestos!$C$32,Supuestos!$C$31,IF(E14&lt;=Supuestos!$C$34,Supuestos!$C$33,Supuestos!$C$35))</f>
        <v>220000</v>
      </c>
      <c r="F21" s="43" t="n">
        <f aca="false">IF(F14&lt;=Supuestos!$C$32,Supuestos!$C$31,IF(F14&lt;=Supuestos!$C$34,Supuestos!$C$33,Supuestos!$C$35))</f>
        <v>220000</v>
      </c>
      <c r="G21" s="43" t="n">
        <f aca="false">IF(G14&lt;=Supuestos!$C$32,Supuestos!$C$31,IF(G14&lt;=Supuestos!$C$34,Supuestos!$C$33,Supuestos!$C$35))</f>
        <v>220000</v>
      </c>
      <c r="H21" s="43" t="n">
        <f aca="false">IF(H14&lt;=Supuestos!$C$32,Supuestos!$C$31,IF(H14&lt;=Supuestos!$C$34,Supuestos!$C$33,Supuestos!$C$35))</f>
        <v>220000</v>
      </c>
      <c r="I21" s="43" t="n">
        <f aca="false">IF(I14&lt;=Supuestos!$C$32,Supuestos!$C$31,IF(I14&lt;=Supuestos!$C$34,Supuestos!$C$33,Supuestos!$C$35))</f>
        <v>220000</v>
      </c>
      <c r="J21" s="43" t="n">
        <f aca="false">IF(J14&lt;=Supuestos!$C$32,Supuestos!$C$31,IF(J14&lt;=Supuestos!$C$34,Supuestos!$C$33,Supuestos!$C$35))</f>
        <v>220000</v>
      </c>
      <c r="K21" s="43" t="n">
        <f aca="false">IF(K14&lt;=Supuestos!$C$32,Supuestos!$C$31,IF(K14&lt;=Supuestos!$C$34,Supuestos!$C$33,Supuestos!$C$35))</f>
        <v>220000</v>
      </c>
      <c r="L21" s="43" t="n">
        <f aca="false">IF(L14&lt;=Supuestos!$C$32,Supuestos!$C$31,IF(L14&lt;=Supuestos!$C$34,Supuestos!$C$33,Supuestos!$C$35))</f>
        <v>220000</v>
      </c>
      <c r="M21" s="43" t="n">
        <f aca="false">IF(M14&lt;=Supuestos!$C$32,Supuestos!$C$31,IF(M14&lt;=Supuestos!$C$34,Supuestos!$C$33,Supuestos!$C$35))</f>
        <v>220000</v>
      </c>
      <c r="N21" s="43" t="n">
        <f aca="false">IF(N14&lt;=Supuestos!$C$32,Supuestos!$C$31,IF(N14&lt;=Supuestos!$C$34,Supuestos!$C$33,Supuestos!$C$35))</f>
        <v>220000</v>
      </c>
      <c r="O21" s="43" t="n">
        <f aca="false">IF(O14&lt;=Supuestos!$C$32,Supuestos!$C$31,IF(O14&lt;=Supuestos!$C$34,Supuestos!$C$33,Supuestos!$C$35))</f>
        <v>220000</v>
      </c>
      <c r="P21" s="43" t="n">
        <f aca="false">IF(P14&lt;=Supuestos!$C$32,Supuestos!$C$31,IF(P14&lt;=Supuestos!$C$34,Supuestos!$C$33,Supuestos!$C$35))</f>
        <v>220000</v>
      </c>
      <c r="Q21" s="43" t="n">
        <f aca="false">IF(Q14&lt;=Supuestos!$C$32,Supuestos!$C$31,IF(Q14&lt;=Supuestos!$C$34,Supuestos!$C$33,Supuestos!$C$35))</f>
        <v>220000</v>
      </c>
      <c r="R21" s="43" t="n">
        <f aca="false">IF(R14&lt;=Supuestos!$C$32,Supuestos!$C$31,IF(R14&lt;=Supuestos!$C$34,Supuestos!$C$33,Supuestos!$C$35))</f>
        <v>220000</v>
      </c>
      <c r="S21" s="43" t="n">
        <f aca="false">IF(S14&lt;=Supuestos!$C$32,Supuestos!$C$31,IF(S14&lt;=Supuestos!$C$34,Supuestos!$C$33,Supuestos!$C$35))</f>
        <v>220000</v>
      </c>
      <c r="T21" s="43" t="n">
        <f aca="false">IF(T14&lt;=Supuestos!$C$32,Supuestos!$C$31,IF(T14&lt;=Supuestos!$C$34,Supuestos!$C$33,Supuestos!$C$35))</f>
        <v>220000</v>
      </c>
      <c r="U21" s="43" t="n">
        <f aca="false">IF(U14&lt;=Supuestos!$C$32,Supuestos!$C$31,IF(U14&lt;=Supuestos!$C$34,Supuestos!$C$33,Supuestos!$C$35))</f>
        <v>220000</v>
      </c>
      <c r="V21" s="43" t="n">
        <f aca="false">IF(V14&lt;=Supuestos!$C$32,Supuestos!$C$31,IF(V14&lt;=Supuestos!$C$34,Supuestos!$C$33,Supuestos!$C$35))</f>
        <v>220000</v>
      </c>
      <c r="W21" s="43" t="n">
        <f aca="false">IF(W14&lt;=Supuestos!$C$32,Supuestos!$C$31,IF(W14&lt;=Supuestos!$C$34,Supuestos!$C$33,Supuestos!$C$35))</f>
        <v>220000</v>
      </c>
      <c r="X21" s="43" t="n">
        <f aca="false">IF(X14&lt;=Supuestos!$C$32,Supuestos!$C$31,IF(X14&lt;=Supuestos!$C$34,Supuestos!$C$33,Supuestos!$C$35))</f>
        <v>220000</v>
      </c>
      <c r="Y21" s="43" t="n">
        <f aca="false">IF(Y14&lt;=Supuestos!$C$32,Supuestos!$C$31,IF(Y14&lt;=Supuestos!$C$34,Supuestos!$C$33,Supuestos!$C$35))</f>
        <v>220000</v>
      </c>
      <c r="Z21" s="43" t="n">
        <f aca="false">IF(Z14&lt;=Supuestos!$C$32,Supuestos!$C$31,IF(Z14&lt;=Supuestos!$C$34,Supuestos!$C$33,Supuestos!$C$35))</f>
        <v>220000</v>
      </c>
      <c r="AA21" s="43" t="n">
        <f aca="false">IF(AA14&lt;=Supuestos!$C$32,Supuestos!$C$31,IF(AA14&lt;=Supuestos!$C$34,Supuestos!$C$33,Supuestos!$C$35))</f>
        <v>450000</v>
      </c>
      <c r="AB21" s="43" t="n">
        <f aca="false">IF(AB14&lt;=Supuestos!$C$32,Supuestos!$C$31,IF(AB14&lt;=Supuestos!$C$34,Supuestos!$C$33,Supuestos!$C$35))</f>
        <v>450000</v>
      </c>
      <c r="AC21" s="43" t="n">
        <f aca="false">IF(AC14&lt;=Supuestos!$C$32,Supuestos!$C$31,IF(AC14&lt;=Supuestos!$C$34,Supuestos!$C$33,Supuestos!$C$35))</f>
        <v>450000</v>
      </c>
      <c r="AD21" s="43" t="n">
        <f aca="false">IF(AD14&lt;=Supuestos!$C$32,Supuestos!$C$31,IF(AD14&lt;=Supuestos!$C$34,Supuestos!$C$33,Supuestos!$C$35))</f>
        <v>450000</v>
      </c>
      <c r="AE21" s="43" t="n">
        <f aca="false">IF(AE14&lt;=Supuestos!$C$32,Supuestos!$C$31,IF(AE14&lt;=Supuestos!$C$34,Supuestos!$C$33,Supuestos!$C$35))</f>
        <v>450000</v>
      </c>
      <c r="AF21" s="43" t="n">
        <f aca="false">IF(AF14&lt;=Supuestos!$C$32,Supuestos!$C$31,IF(AF14&lt;=Supuestos!$C$34,Supuestos!$C$33,Supuestos!$C$35))</f>
        <v>450000</v>
      </c>
      <c r="AG21" s="43" t="n">
        <f aca="false">IF(AG14&lt;=Supuestos!$C$32,Supuestos!$C$31,IF(AG14&lt;=Supuestos!$C$34,Supuestos!$C$33,Supuestos!$C$35))</f>
        <v>450000</v>
      </c>
      <c r="AH21" s="43" t="n">
        <f aca="false">IF(AH14&lt;=Supuestos!$C$32,Supuestos!$C$31,IF(AH14&lt;=Supuestos!$C$34,Supuestos!$C$33,Supuestos!$C$35))</f>
        <v>450000</v>
      </c>
      <c r="AI21" s="43" t="n">
        <f aca="false">IF(AI14&lt;=Supuestos!$C$32,Supuestos!$C$31,IF(AI14&lt;=Supuestos!$C$34,Supuestos!$C$33,Supuestos!$C$35))</f>
        <v>450000</v>
      </c>
      <c r="AJ21" s="43" t="n">
        <f aca="false">IF(AJ14&lt;=Supuestos!$C$32,Supuestos!$C$31,IF(AJ14&lt;=Supuestos!$C$34,Supuestos!$C$33,Supuestos!$C$35))</f>
        <v>450000</v>
      </c>
      <c r="AK21" s="43" t="n">
        <f aca="false">IF(AK14&lt;=Supuestos!$C$32,Supuestos!$C$31,IF(AK14&lt;=Supuestos!$C$34,Supuestos!$C$33,Supuestos!$C$35))</f>
        <v>450000</v>
      </c>
      <c r="AL21" s="43" t="n">
        <f aca="false">IF(AL14&lt;=Supuestos!$C$32,Supuestos!$C$31,IF(AL14&lt;=Supuestos!$C$34,Supuestos!$C$33,Supuestos!$C$35))</f>
        <v>450000</v>
      </c>
      <c r="AM21" s="43" t="n">
        <f aca="false">IF(AM14&lt;=Supuestos!$C$32,Supuestos!$C$31,IF(AM14&lt;=Supuestos!$C$34,Supuestos!$C$33,Supuestos!$C$35))</f>
        <v>450000</v>
      </c>
      <c r="AN21" s="43" t="n">
        <f aca="false">IF(AN14&lt;=Supuestos!$C$32,Supuestos!$C$31,IF(AN14&lt;=Supuestos!$C$34,Supuestos!$C$33,Supuestos!$C$35))</f>
        <v>450000</v>
      </c>
      <c r="AO21" s="43" t="n">
        <f aca="false">IF(AO14&lt;=Supuestos!$C$32,Supuestos!$C$31,IF(AO14&lt;=Supuestos!$C$34,Supuestos!$C$33,Supuestos!$C$35))</f>
        <v>450000</v>
      </c>
      <c r="AP21" s="43" t="n">
        <f aca="false">IF(AP14&lt;=Supuestos!$C$32,Supuestos!$C$31,IF(AP14&lt;=Supuestos!$C$34,Supuestos!$C$33,Supuestos!$C$35))</f>
        <v>450000</v>
      </c>
      <c r="AQ21" s="43" t="n">
        <f aca="false">IF(AQ14&lt;=Supuestos!$C$32,Supuestos!$C$31,IF(AQ14&lt;=Supuestos!$C$34,Supuestos!$C$33,Supuestos!$C$35))</f>
        <v>800000</v>
      </c>
      <c r="AR21" s="43" t="n">
        <f aca="false">IF(AR14&lt;=Supuestos!$C$32,Supuestos!$C$31,IF(AR14&lt;=Supuestos!$C$34,Supuestos!$C$33,Supuestos!$C$35))</f>
        <v>800000</v>
      </c>
      <c r="AS21" s="43" t="n">
        <f aca="false">IF(AS14&lt;=Supuestos!$C$32,Supuestos!$C$31,IF(AS14&lt;=Supuestos!$C$34,Supuestos!$C$33,Supuestos!$C$35))</f>
        <v>800000</v>
      </c>
      <c r="AT21" s="43" t="n">
        <f aca="false">IF(AT14&lt;=Supuestos!$C$32,Supuestos!$C$31,IF(AT14&lt;=Supuestos!$C$34,Supuestos!$C$33,Supuestos!$C$35))</f>
        <v>800000</v>
      </c>
      <c r="AU21" s="43" t="n">
        <f aca="false">IF(AU14&lt;=Supuestos!$C$32,Supuestos!$C$31,IF(AU14&lt;=Supuestos!$C$34,Supuestos!$C$33,Supuestos!$C$35))</f>
        <v>800000</v>
      </c>
      <c r="AV21" s="43" t="n">
        <f aca="false">IF(AV14&lt;=Supuestos!$C$32,Supuestos!$C$31,IF(AV14&lt;=Supuestos!$C$34,Supuestos!$C$33,Supuestos!$C$35))</f>
        <v>800000</v>
      </c>
      <c r="AW21" s="43" t="n">
        <f aca="false">IF(AW14&lt;=Supuestos!$C$32,Supuestos!$C$31,IF(AW14&lt;=Supuestos!$C$34,Supuestos!$C$33,Supuestos!$C$35))</f>
        <v>800000</v>
      </c>
      <c r="AX21" s="43" t="n">
        <f aca="false">IF(AX14&lt;=Supuestos!$C$32,Supuestos!$C$31,IF(AX14&lt;=Supuestos!$C$34,Supuestos!$C$33,Supuestos!$C$35))</f>
        <v>800000</v>
      </c>
      <c r="AY21" s="43" t="n">
        <f aca="false">IF(AY14&lt;=Supuestos!$C$32,Supuestos!$C$31,IF(AY14&lt;=Supuestos!$C$34,Supuestos!$C$33,Supuestos!$C$35))</f>
        <v>800000</v>
      </c>
      <c r="AZ21" s="43" t="n">
        <f aca="false">IF(AZ14&lt;=Supuestos!$C$32,Supuestos!$C$31,IF(AZ14&lt;=Supuestos!$C$34,Supuestos!$C$33,Supuestos!$C$35))</f>
        <v>800000</v>
      </c>
      <c r="BA21" s="43" t="n">
        <f aca="false">IF(BA14&lt;=Supuestos!$C$32,Supuestos!$C$31,IF(BA14&lt;=Supuestos!$C$34,Supuestos!$C$33,Supuestos!$C$35))</f>
        <v>800000</v>
      </c>
      <c r="BB21" s="43" t="n">
        <f aca="false">IF(BB14&lt;=Supuestos!$C$32,Supuestos!$C$31,IF(BB14&lt;=Supuestos!$C$34,Supuestos!$C$33,Supuestos!$C$35))</f>
        <v>800000</v>
      </c>
      <c r="BC21" s="43" t="n">
        <f aca="false">IF(BC14&lt;=Supuestos!$C$32,Supuestos!$C$31,IF(BC14&lt;=Supuestos!$C$34,Supuestos!$C$33,Supuestos!$C$35))</f>
        <v>800000</v>
      </c>
      <c r="BD21" s="43" t="n">
        <f aca="false">IF(BD14&lt;=Supuestos!$C$32,Supuestos!$C$31,IF(BD14&lt;=Supuestos!$C$34,Supuestos!$C$33,Supuestos!$C$35))</f>
        <v>800000</v>
      </c>
      <c r="BE21" s="43" t="n">
        <f aca="false">IF(BE14&lt;=Supuestos!$C$32,Supuestos!$C$31,IF(BE14&lt;=Supuestos!$C$34,Supuestos!$C$33,Supuestos!$C$35))</f>
        <v>800000</v>
      </c>
      <c r="BF21" s="43" t="n">
        <f aca="false">IF(BF14&lt;=Supuestos!$C$32,Supuestos!$C$31,IF(BF14&lt;=Supuestos!$C$34,Supuestos!$C$33,Supuestos!$C$35))</f>
        <v>800000</v>
      </c>
      <c r="BG21" s="43" t="n">
        <f aca="false">IF(BG14&lt;=Supuestos!$C$32,Supuestos!$C$31,IF(BG14&lt;=Supuestos!$C$34,Supuestos!$C$33,Supuestos!$C$35))</f>
        <v>800000</v>
      </c>
      <c r="BH21" s="43" t="n">
        <f aca="false">IF(BH14&lt;=Supuestos!$C$32,Supuestos!$C$31,IF(BH14&lt;=Supuestos!$C$34,Supuestos!$C$33,Supuestos!$C$35))</f>
        <v>800000</v>
      </c>
      <c r="BI21" s="43" t="n">
        <f aca="false">IF(BI14&lt;=Supuestos!$C$32,Supuestos!$C$31,IF(BI14&lt;=Supuestos!$C$34,Supuestos!$C$33,Supuestos!$C$35))</f>
        <v>800000</v>
      </c>
      <c r="BJ21" s="43" t="n">
        <f aca="false">IF(BJ14&lt;=Supuestos!$C$32,Supuestos!$C$31,IF(BJ14&lt;=Supuestos!$C$34,Supuestos!$C$33,Supuestos!$C$35))</f>
        <v>800000</v>
      </c>
    </row>
    <row r="22" customFormat="false" ht="15" hidden="false" customHeight="true" outlineLevel="0" collapsed="false">
      <c r="A22" s="16" t="s">
        <v>250</v>
      </c>
      <c r="B22" s="7" t="s">
        <v>146</v>
      </c>
      <c r="C22" s="35" t="n">
        <f aca="false">SUM(C19:C21)</f>
        <v>244460.212</v>
      </c>
      <c r="D22" s="35" t="n">
        <f aca="false">SUM(D19:D21)</f>
        <v>256705</v>
      </c>
      <c r="E22" s="35" t="n">
        <f aca="false">SUM(E19:E21)</f>
        <v>281165.212</v>
      </c>
      <c r="F22" s="35" t="n">
        <f aca="false">SUM(F19:F21)</f>
        <v>305654.788</v>
      </c>
      <c r="G22" s="35" t="n">
        <f aca="false">SUM(G19:G21)</f>
        <v>330115</v>
      </c>
      <c r="H22" s="35" t="n">
        <f aca="false">SUM(H19:H21)</f>
        <v>354575.212</v>
      </c>
      <c r="I22" s="35" t="n">
        <f aca="false">SUM(I19:I21)</f>
        <v>379064.788</v>
      </c>
      <c r="J22" s="35" t="n">
        <f aca="false">SUM(J19:J21)</f>
        <v>415769.788</v>
      </c>
      <c r="K22" s="35" t="n">
        <f aca="false">SUM(K19:K21)</f>
        <v>440230</v>
      </c>
      <c r="L22" s="35" t="n">
        <f aca="false">SUM(L19:L21)</f>
        <v>464690.212</v>
      </c>
      <c r="M22" s="35" t="n">
        <f aca="false">SUM(M19:M21)</f>
        <v>489179.788</v>
      </c>
      <c r="N22" s="35" t="n">
        <f aca="false">SUM(N19:N21)</f>
        <v>513640</v>
      </c>
      <c r="O22" s="35" t="n">
        <f aca="false">SUM(O19:O21)</f>
        <v>566862.25</v>
      </c>
      <c r="P22" s="35" t="n">
        <f aca="false">SUM(P19:P21)</f>
        <v>605402.5</v>
      </c>
      <c r="Q22" s="35" t="n">
        <f aca="false">SUM(Q19:Q21)</f>
        <v>643942.75</v>
      </c>
      <c r="R22" s="35" t="n">
        <f aca="false">SUM(R19:R21)</f>
        <v>682483</v>
      </c>
      <c r="S22" s="35" t="n">
        <f aca="false">SUM(S19:S21)</f>
        <v>721023.25</v>
      </c>
      <c r="T22" s="35" t="n">
        <f aca="false">SUM(T19:T21)</f>
        <v>759563.5</v>
      </c>
      <c r="U22" s="35" t="n">
        <f aca="false">SUM(U19:U21)</f>
        <v>798103.75</v>
      </c>
      <c r="V22" s="35" t="n">
        <f aca="false">SUM(V19:V21)</f>
        <v>836644</v>
      </c>
      <c r="W22" s="35" t="n">
        <f aca="false">SUM(W19:W21)</f>
        <v>875184.25</v>
      </c>
      <c r="X22" s="35" t="n">
        <f aca="false">SUM(X19:X21)</f>
        <v>913724.5</v>
      </c>
      <c r="Y22" s="35" t="n">
        <f aca="false">SUM(Y19:Y21)</f>
        <v>952264.75</v>
      </c>
      <c r="Z22" s="35" t="n">
        <f aca="false">SUM(Z19:Z21)</f>
        <v>990805</v>
      </c>
      <c r="AA22" s="35" t="n">
        <f aca="false">SUM(AA19:AA21)</f>
        <v>1326790.6875</v>
      </c>
      <c r="AB22" s="35" t="n">
        <f aca="false">SUM(AB19:AB21)</f>
        <v>1394236.125</v>
      </c>
      <c r="AC22" s="35" t="n">
        <f aca="false">SUM(AC19:AC21)</f>
        <v>1461681.5625</v>
      </c>
      <c r="AD22" s="35" t="n">
        <f aca="false">SUM(AD19:AD21)</f>
        <v>1529127</v>
      </c>
      <c r="AE22" s="35" t="n">
        <f aca="false">SUM(AE19:AE21)</f>
        <v>1596572.4375</v>
      </c>
      <c r="AF22" s="35" t="n">
        <f aca="false">SUM(AF19:AF21)</f>
        <v>1664017.875</v>
      </c>
      <c r="AG22" s="35" t="n">
        <f aca="false">SUM(AG19:AG21)</f>
        <v>1731463.3125</v>
      </c>
      <c r="AH22" s="35" t="n">
        <f aca="false">SUM(AH19:AH21)</f>
        <v>1798908.75</v>
      </c>
      <c r="AI22" s="35" t="n">
        <f aca="false">SUM(AI19:AI21)</f>
        <v>1866354.1875</v>
      </c>
      <c r="AJ22" s="35" t="n">
        <f aca="false">SUM(AJ19:AJ21)</f>
        <v>1933799.625</v>
      </c>
      <c r="AK22" s="35" t="n">
        <f aca="false">SUM(AK19:AK21)</f>
        <v>2001245.0625</v>
      </c>
      <c r="AL22" s="35" t="n">
        <f aca="false">SUM(AL19:AL21)</f>
        <v>2068690.5</v>
      </c>
      <c r="AM22" s="35" t="n">
        <f aca="false">SUM(AM19:AM21)</f>
        <v>2220442.734375</v>
      </c>
      <c r="AN22" s="35" t="n">
        <f aca="false">SUM(AN19:AN21)</f>
        <v>2291260.44375</v>
      </c>
      <c r="AO22" s="35" t="n">
        <f aca="false">SUM(AO19:AO21)</f>
        <v>2362078.153125</v>
      </c>
      <c r="AP22" s="35" t="n">
        <f aca="false">SUM(AP19:AP21)</f>
        <v>2432895.8625</v>
      </c>
      <c r="AQ22" s="35" t="n">
        <f aca="false">SUM(AQ19:AQ21)</f>
        <v>2853713.571875</v>
      </c>
      <c r="AR22" s="35" t="n">
        <f aca="false">SUM(AR19:AR21)</f>
        <v>2924531.28125</v>
      </c>
      <c r="AS22" s="35" t="n">
        <f aca="false">SUM(AS19:AS21)</f>
        <v>2995348.990625</v>
      </c>
      <c r="AT22" s="35" t="n">
        <f aca="false">SUM(AT19:AT21)</f>
        <v>3066166.7</v>
      </c>
      <c r="AU22" s="35" t="n">
        <f aca="false">SUM(AU19:AU21)</f>
        <v>3136984.409375</v>
      </c>
      <c r="AV22" s="35" t="n">
        <f aca="false">SUM(AV19:AV21)</f>
        <v>3207802.11875</v>
      </c>
      <c r="AW22" s="35" t="n">
        <f aca="false">SUM(AW19:AW21)</f>
        <v>3278619.828125</v>
      </c>
      <c r="AX22" s="35" t="n">
        <f aca="false">SUM(AX19:AX21)</f>
        <v>3349437.5375</v>
      </c>
      <c r="AY22" s="35" t="n">
        <f aca="false">SUM(AY19:AY21)</f>
        <v>3551268.00921875</v>
      </c>
      <c r="AZ22" s="35" t="n">
        <f aca="false">SUM(AZ19:AZ21)</f>
        <v>3625626.6040625</v>
      </c>
      <c r="BA22" s="35" t="n">
        <f aca="false">SUM(BA19:BA21)</f>
        <v>3699985.19890625</v>
      </c>
      <c r="BB22" s="35" t="n">
        <f aca="false">SUM(BB19:BB21)</f>
        <v>3774343.79375</v>
      </c>
      <c r="BC22" s="35" t="n">
        <f aca="false">SUM(BC19:BC21)</f>
        <v>3848702.38859375</v>
      </c>
      <c r="BD22" s="35" t="n">
        <f aca="false">SUM(BD19:BD21)</f>
        <v>3923060.9834375</v>
      </c>
      <c r="BE22" s="35" t="n">
        <f aca="false">SUM(BE19:BE21)</f>
        <v>3997419.57828125</v>
      </c>
      <c r="BF22" s="35" t="n">
        <f aca="false">SUM(BF19:BF21)</f>
        <v>4071778.173125</v>
      </c>
      <c r="BG22" s="35" t="n">
        <f aca="false">SUM(BG19:BG21)</f>
        <v>4146136.76796875</v>
      </c>
      <c r="BH22" s="35" t="n">
        <f aca="false">SUM(BH19:BH21)</f>
        <v>4220495.3628125</v>
      </c>
      <c r="BI22" s="35" t="n">
        <f aca="false">SUM(BI19:BI21)</f>
        <v>4294853.95765625</v>
      </c>
      <c r="BJ22" s="35" t="n">
        <f aca="false">SUM(BJ19:BJ21)</f>
        <v>4369212.5525</v>
      </c>
    </row>
    <row r="23" customFormat="false" ht="15" hidden="false" customHeight="true" outlineLevel="0" collapsed="false">
      <c r="A23" s="16" t="s">
        <v>194</v>
      </c>
      <c r="B23" s="7" t="s">
        <v>146</v>
      </c>
      <c r="C23" s="35" t="n">
        <f aca="false">C18-C22</f>
        <v>154380.188</v>
      </c>
      <c r="D23" s="35" t="n">
        <f aca="false">D18-D22</f>
        <v>341795</v>
      </c>
      <c r="E23" s="35" t="n">
        <f aca="false">E18-E22</f>
        <v>716175.188</v>
      </c>
      <c r="F23" s="35" t="n">
        <f aca="false">F18-F22</f>
        <v>1091004.812</v>
      </c>
      <c r="G23" s="35" t="n">
        <f aca="false">G18-G22</f>
        <v>1465385</v>
      </c>
      <c r="H23" s="35" t="n">
        <f aca="false">H18-H22</f>
        <v>1839765.188</v>
      </c>
      <c r="I23" s="35" t="n">
        <f aca="false">I18-I22</f>
        <v>2214594.812</v>
      </c>
      <c r="J23" s="35" t="n">
        <f aca="false">J18-J22</f>
        <v>2776389.812</v>
      </c>
      <c r="K23" s="35" t="n">
        <f aca="false">K18-K22</f>
        <v>3150770</v>
      </c>
      <c r="L23" s="35" t="n">
        <f aca="false">L18-L22</f>
        <v>3525150.188</v>
      </c>
      <c r="M23" s="35" t="n">
        <f aca="false">M18-M22</f>
        <v>3899979.812</v>
      </c>
      <c r="N23" s="35" t="n">
        <f aca="false">N18-N22</f>
        <v>4274360</v>
      </c>
      <c r="O23" s="35" t="n">
        <f aca="false">O18-O22</f>
        <v>5088962.75</v>
      </c>
      <c r="P23" s="35" t="n">
        <f aca="false">P18-P22</f>
        <v>5678847.5</v>
      </c>
      <c r="Q23" s="35" t="n">
        <f aca="false">Q18-Q22</f>
        <v>6268732.25</v>
      </c>
      <c r="R23" s="35" t="n">
        <f aca="false">R18-R22</f>
        <v>6858617</v>
      </c>
      <c r="S23" s="35" t="n">
        <f aca="false">S18-S22</f>
        <v>7448501.75</v>
      </c>
      <c r="T23" s="35" t="n">
        <f aca="false">T18-T22</f>
        <v>8038386.5</v>
      </c>
      <c r="U23" s="35" t="n">
        <f aca="false">U18-U22</f>
        <v>8628271.25</v>
      </c>
      <c r="V23" s="35" t="n">
        <f aca="false">V18-V22</f>
        <v>9218156</v>
      </c>
      <c r="W23" s="35" t="n">
        <f aca="false">W18-W22</f>
        <v>9808040.75</v>
      </c>
      <c r="X23" s="35" t="n">
        <f aca="false">X18-X22</f>
        <v>10397925.5</v>
      </c>
      <c r="Y23" s="35" t="n">
        <f aca="false">Y18-Y22</f>
        <v>10987810.25</v>
      </c>
      <c r="Z23" s="35" t="n">
        <f aca="false">Z18-Z22</f>
        <v>11577695</v>
      </c>
      <c r="AA23" s="35" t="n">
        <f aca="false">AA18-AA22</f>
        <v>12969878.0625</v>
      </c>
      <c r="AB23" s="35" t="n">
        <f aca="false">AB18-AB22</f>
        <v>14002176.375</v>
      </c>
      <c r="AC23" s="35" t="n">
        <f aca="false">AC18-AC22</f>
        <v>15034474.6875</v>
      </c>
      <c r="AD23" s="35" t="n">
        <f aca="false">AD18-AD22</f>
        <v>16066773</v>
      </c>
      <c r="AE23" s="35" t="n">
        <f aca="false">AE18-AE22</f>
        <v>17099071.3125</v>
      </c>
      <c r="AF23" s="35" t="n">
        <f aca="false">AF18-AF22</f>
        <v>18131369.625</v>
      </c>
      <c r="AG23" s="35" t="n">
        <f aca="false">AG18-AG22</f>
        <v>19163667.9375</v>
      </c>
      <c r="AH23" s="35" t="n">
        <f aca="false">AH18-AH22</f>
        <v>20195966.25</v>
      </c>
      <c r="AI23" s="35" t="n">
        <f aca="false">AI18-AI22</f>
        <v>21228264.5625</v>
      </c>
      <c r="AJ23" s="35" t="n">
        <f aca="false">AJ18-AJ22</f>
        <v>22260562.875</v>
      </c>
      <c r="AK23" s="35" t="n">
        <f aca="false">AK18-AK22</f>
        <v>23292861.1875</v>
      </c>
      <c r="AL23" s="35" t="n">
        <f aca="false">AL18-AL22</f>
        <v>24325159.5</v>
      </c>
      <c r="AM23" s="35" t="n">
        <f aca="false">AM18-AM22</f>
        <v>26647830.703125</v>
      </c>
      <c r="AN23" s="35" t="n">
        <f aca="false">AN18-AN22</f>
        <v>27731743.93125</v>
      </c>
      <c r="AO23" s="35" t="n">
        <f aca="false">AO18-AO22</f>
        <v>28815657.159375</v>
      </c>
      <c r="AP23" s="35" t="n">
        <f aca="false">AP18-AP22</f>
        <v>29899570.3875</v>
      </c>
      <c r="AQ23" s="35" t="n">
        <f aca="false">AQ18-AQ22</f>
        <v>30633483.615625</v>
      </c>
      <c r="AR23" s="35" t="n">
        <f aca="false">AR18-AR22</f>
        <v>31717396.84375</v>
      </c>
      <c r="AS23" s="35" t="n">
        <f aca="false">AS18-AS22</f>
        <v>32801310.071875</v>
      </c>
      <c r="AT23" s="35" t="n">
        <f aca="false">AT18-AT22</f>
        <v>33885223.3</v>
      </c>
      <c r="AU23" s="35" t="n">
        <f aca="false">AU18-AU22</f>
        <v>34969136.528125</v>
      </c>
      <c r="AV23" s="35" t="n">
        <f aca="false">AV18-AV22</f>
        <v>36053049.75625</v>
      </c>
      <c r="AW23" s="35" t="n">
        <f aca="false">AW18-AW22</f>
        <v>37136962.984375</v>
      </c>
      <c r="AX23" s="35" t="n">
        <f aca="false">AX18-AX22</f>
        <v>38220876.2125</v>
      </c>
      <c r="AY23" s="35" t="n">
        <f aca="false">AY18-AY22</f>
        <v>41310028.9126563</v>
      </c>
      <c r="AZ23" s="35" t="n">
        <f aca="false">AZ18-AZ22</f>
        <v>42448137.8021875</v>
      </c>
      <c r="BA23" s="35" t="n">
        <f aca="false">BA18-BA22</f>
        <v>43586246.6917188</v>
      </c>
      <c r="BB23" s="35" t="n">
        <f aca="false">BB18-BB22</f>
        <v>44724355.58125</v>
      </c>
      <c r="BC23" s="35" t="n">
        <f aca="false">BC18-BC22</f>
        <v>45862464.4707813</v>
      </c>
      <c r="BD23" s="35" t="n">
        <f aca="false">BD18-BD22</f>
        <v>47000573.3603125</v>
      </c>
      <c r="BE23" s="35" t="n">
        <f aca="false">BE18-BE22</f>
        <v>48138682.2498438</v>
      </c>
      <c r="BF23" s="35" t="n">
        <f aca="false">BF18-BF22</f>
        <v>49276791.139375</v>
      </c>
      <c r="BG23" s="35" t="n">
        <f aca="false">BG18-BG22</f>
        <v>50414900.0289063</v>
      </c>
      <c r="BH23" s="35" t="n">
        <f aca="false">BH18-BH22</f>
        <v>51553008.9184375</v>
      </c>
      <c r="BI23" s="35" t="n">
        <f aca="false">BI18-BI22</f>
        <v>52691117.8079688</v>
      </c>
      <c r="BJ23" s="35" t="n">
        <f aca="false">BJ18-BJ22</f>
        <v>53829226.6975</v>
      </c>
    </row>
    <row r="25" customFormat="false" ht="15" hidden="false" customHeight="true" outlineLevel="0" collapsed="false">
      <c r="A25" s="28" t="s">
        <v>251</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row>
    <row r="26" customFormat="false" ht="15" hidden="false" customHeight="true" outlineLevel="0" collapsed="false">
      <c r="A26" s="10" t="s">
        <v>252</v>
      </c>
      <c r="B26" s="7" t="s">
        <v>115</v>
      </c>
      <c r="C26" s="44" t="n">
        <f aca="false">C14*Supuestos!$C$58/60</f>
        <v>3.332</v>
      </c>
      <c r="D26" s="44" t="n">
        <f aca="false">D14*Supuestos!$C$58/60</f>
        <v>5</v>
      </c>
      <c r="E26" s="44" t="n">
        <f aca="false">E14*Supuestos!$C$58/60</f>
        <v>8.332</v>
      </c>
      <c r="F26" s="44" t="n">
        <f aca="false">F14*Supuestos!$C$58/60</f>
        <v>11.668</v>
      </c>
      <c r="G26" s="44" t="n">
        <f aca="false">G14*Supuestos!$C$58/60</f>
        <v>15</v>
      </c>
      <c r="H26" s="44" t="n">
        <f aca="false">H14*Supuestos!$C$58/60</f>
        <v>18.332</v>
      </c>
      <c r="I26" s="44" t="n">
        <f aca="false">I14*Supuestos!$C$58/60</f>
        <v>21.668</v>
      </c>
      <c r="J26" s="44" t="n">
        <f aca="false">J14*Supuestos!$C$58/60</f>
        <v>26.668</v>
      </c>
      <c r="K26" s="44" t="n">
        <f aca="false">K14*Supuestos!$C$58/60</f>
        <v>30</v>
      </c>
      <c r="L26" s="44" t="n">
        <f aca="false">L14*Supuestos!$C$58/60</f>
        <v>33.332</v>
      </c>
      <c r="M26" s="44" t="n">
        <f aca="false">M14*Supuestos!$C$58/60</f>
        <v>36.668</v>
      </c>
      <c r="N26" s="44" t="n">
        <f aca="false">N14*Supuestos!$C$58/60</f>
        <v>40</v>
      </c>
      <c r="O26" s="44" t="n">
        <f aca="false">O14*Supuestos!$C$58/60</f>
        <v>45</v>
      </c>
      <c r="P26" s="44" t="n">
        <f aca="false">P14*Supuestos!$C$58/60</f>
        <v>50</v>
      </c>
      <c r="Q26" s="44" t="n">
        <f aca="false">Q14*Supuestos!$C$58/60</f>
        <v>55</v>
      </c>
      <c r="R26" s="44" t="n">
        <f aca="false">R14*Supuestos!$C$58/60</f>
        <v>60</v>
      </c>
      <c r="S26" s="44" t="n">
        <f aca="false">S14*Supuestos!$C$58/60</f>
        <v>65</v>
      </c>
      <c r="T26" s="44" t="n">
        <f aca="false">T14*Supuestos!$C$58/60</f>
        <v>70</v>
      </c>
      <c r="U26" s="44" t="n">
        <f aca="false">U14*Supuestos!$C$58/60</f>
        <v>75</v>
      </c>
      <c r="V26" s="44" t="n">
        <f aca="false">V14*Supuestos!$C$58/60</f>
        <v>80</v>
      </c>
      <c r="W26" s="44" t="n">
        <f aca="false">W14*Supuestos!$C$58/60</f>
        <v>85</v>
      </c>
      <c r="X26" s="44" t="n">
        <f aca="false">X14*Supuestos!$C$58/60</f>
        <v>90</v>
      </c>
      <c r="Y26" s="44" t="n">
        <f aca="false">Y14*Supuestos!$C$58/60</f>
        <v>95</v>
      </c>
      <c r="Z26" s="44" t="n">
        <f aca="false">Z14*Supuestos!$C$58/60</f>
        <v>100</v>
      </c>
      <c r="AA26" s="44" t="n">
        <f aca="false">AA14*Supuestos!$C$58/60</f>
        <v>108.333333333333</v>
      </c>
      <c r="AB26" s="44" t="n">
        <f aca="false">AB14*Supuestos!$C$58/60</f>
        <v>116.666666666667</v>
      </c>
      <c r="AC26" s="44" t="n">
        <f aca="false">AC14*Supuestos!$C$58/60</f>
        <v>125</v>
      </c>
      <c r="AD26" s="44" t="n">
        <f aca="false">AD14*Supuestos!$C$58/60</f>
        <v>133.333333333333</v>
      </c>
      <c r="AE26" s="44" t="n">
        <f aca="false">AE14*Supuestos!$C$58/60</f>
        <v>141.666666666667</v>
      </c>
      <c r="AF26" s="44" t="n">
        <f aca="false">AF14*Supuestos!$C$58/60</f>
        <v>150</v>
      </c>
      <c r="AG26" s="44" t="n">
        <f aca="false">AG14*Supuestos!$C$58/60</f>
        <v>158.333333333333</v>
      </c>
      <c r="AH26" s="44" t="n">
        <f aca="false">AH14*Supuestos!$C$58/60</f>
        <v>166.666666666667</v>
      </c>
      <c r="AI26" s="44" t="n">
        <f aca="false">AI14*Supuestos!$C$58/60</f>
        <v>175</v>
      </c>
      <c r="AJ26" s="44" t="n">
        <f aca="false">AJ14*Supuestos!$C$58/60</f>
        <v>183.333333333333</v>
      </c>
      <c r="AK26" s="44" t="n">
        <f aca="false">AK14*Supuestos!$C$58/60</f>
        <v>191.666666666667</v>
      </c>
      <c r="AL26" s="44" t="n">
        <f aca="false">AL14*Supuestos!$C$58/60</f>
        <v>200</v>
      </c>
      <c r="AM26" s="44" t="n">
        <f aca="false">AM14*Supuestos!$C$58/60</f>
        <v>208.333333333333</v>
      </c>
      <c r="AN26" s="44" t="n">
        <f aca="false">AN14*Supuestos!$C$58/60</f>
        <v>216.666666666667</v>
      </c>
      <c r="AO26" s="44" t="n">
        <f aca="false">AO14*Supuestos!$C$58/60</f>
        <v>225</v>
      </c>
      <c r="AP26" s="44" t="n">
        <f aca="false">AP14*Supuestos!$C$58/60</f>
        <v>233.333333333333</v>
      </c>
      <c r="AQ26" s="44" t="n">
        <f aca="false">AQ14*Supuestos!$C$58/60</f>
        <v>241.666666666667</v>
      </c>
      <c r="AR26" s="44" t="n">
        <f aca="false">AR14*Supuestos!$C$58/60</f>
        <v>250</v>
      </c>
      <c r="AS26" s="44" t="n">
        <f aca="false">AS14*Supuestos!$C$58/60</f>
        <v>258.333333333333</v>
      </c>
      <c r="AT26" s="44" t="n">
        <f aca="false">AT14*Supuestos!$C$58/60</f>
        <v>266.666666666667</v>
      </c>
      <c r="AU26" s="44" t="n">
        <f aca="false">AU14*Supuestos!$C$58/60</f>
        <v>275</v>
      </c>
      <c r="AV26" s="44" t="n">
        <f aca="false">AV14*Supuestos!$C$58/60</f>
        <v>283.333333333333</v>
      </c>
      <c r="AW26" s="44" t="n">
        <f aca="false">AW14*Supuestos!$C$58/60</f>
        <v>291.666666666667</v>
      </c>
      <c r="AX26" s="44" t="n">
        <f aca="false">AX14*Supuestos!$C$58/60</f>
        <v>300</v>
      </c>
      <c r="AY26" s="44" t="n">
        <f aca="false">AY14*Supuestos!$C$58/60</f>
        <v>308.333333333333</v>
      </c>
      <c r="AZ26" s="44" t="n">
        <f aca="false">AZ14*Supuestos!$C$58/60</f>
        <v>316.666666666667</v>
      </c>
      <c r="BA26" s="44" t="n">
        <f aca="false">BA14*Supuestos!$C$58/60</f>
        <v>325</v>
      </c>
      <c r="BB26" s="44" t="n">
        <f aca="false">BB14*Supuestos!$C$58/60</f>
        <v>333.333333333333</v>
      </c>
      <c r="BC26" s="44" t="n">
        <f aca="false">BC14*Supuestos!$C$58/60</f>
        <v>341.666666666667</v>
      </c>
      <c r="BD26" s="44" t="n">
        <f aca="false">BD14*Supuestos!$C$58/60</f>
        <v>350</v>
      </c>
      <c r="BE26" s="44" t="n">
        <f aca="false">BE14*Supuestos!$C$58/60</f>
        <v>358.333333333333</v>
      </c>
      <c r="BF26" s="44" t="n">
        <f aca="false">BF14*Supuestos!$C$58/60</f>
        <v>366.666666666667</v>
      </c>
      <c r="BG26" s="44" t="n">
        <f aca="false">BG14*Supuestos!$C$58/60</f>
        <v>375</v>
      </c>
      <c r="BH26" s="44" t="n">
        <f aca="false">BH14*Supuestos!$C$58/60</f>
        <v>383.333333333333</v>
      </c>
      <c r="BI26" s="44" t="n">
        <f aca="false">BI14*Supuestos!$C$58/60</f>
        <v>391.666666666667</v>
      </c>
      <c r="BJ26" s="44" t="n">
        <f aca="false">BJ14*Supuestos!$C$58/60</f>
        <v>400</v>
      </c>
    </row>
    <row r="27" customFormat="false" ht="15" hidden="false" customHeight="true" outlineLevel="0" collapsed="false">
      <c r="A27" s="10" t="s">
        <v>253</v>
      </c>
      <c r="B27" s="7" t="s">
        <v>115</v>
      </c>
      <c r="C27" s="44" t="n">
        <f aca="false">C13*Supuestos!$C$59</f>
        <v>16.9932</v>
      </c>
      <c r="D27" s="44" t="n">
        <f aca="false">D13*Supuestos!$C$59</f>
        <v>9.016596</v>
      </c>
      <c r="E27" s="44" t="n">
        <f aca="false">E13*Supuestos!$C$59</f>
        <v>17.7582</v>
      </c>
      <c r="F27" s="44" t="n">
        <f aca="false">F13*Supuestos!$C$59</f>
        <v>18.288396</v>
      </c>
      <c r="G27" s="44" t="n">
        <f aca="false">G13*Supuestos!$C$59</f>
        <v>18.778404</v>
      </c>
      <c r="H27" s="44" t="n">
        <f aca="false">H13*Supuestos!$C$59</f>
        <v>19.2882</v>
      </c>
      <c r="I27" s="44" t="n">
        <f aca="false">I13*Supuestos!$C$59</f>
        <v>19.818396</v>
      </c>
      <c r="J27" s="44" t="n">
        <f aca="false">J13*Supuestos!$C$59</f>
        <v>28.815204</v>
      </c>
      <c r="K27" s="44" t="n">
        <f aca="false">K13*Supuestos!$C$59</f>
        <v>21.073404</v>
      </c>
      <c r="L27" s="44" t="n">
        <f aca="false">L13*Supuestos!$C$59</f>
        <v>21.5832</v>
      </c>
      <c r="M27" s="44" t="n">
        <f aca="false">M13*Supuestos!$C$59</f>
        <v>22.113396</v>
      </c>
      <c r="N27" s="44" t="n">
        <f aca="false">N13*Supuestos!$C$59</f>
        <v>22.603404</v>
      </c>
      <c r="O27" s="44" t="n">
        <f aca="false">O13*Supuestos!$C$59</f>
        <v>31.62</v>
      </c>
      <c r="P27" s="44" t="n">
        <f aca="false">P13*Supuestos!$C$59</f>
        <v>32.385</v>
      </c>
      <c r="Q27" s="44" t="n">
        <f aca="false">Q13*Supuestos!$C$59</f>
        <v>33.15</v>
      </c>
      <c r="R27" s="44" t="n">
        <f aca="false">R13*Supuestos!$C$59</f>
        <v>33.915</v>
      </c>
      <c r="S27" s="44" t="n">
        <f aca="false">S13*Supuestos!$C$59</f>
        <v>34.68</v>
      </c>
      <c r="T27" s="44" t="n">
        <f aca="false">T13*Supuestos!$C$59</f>
        <v>35.445</v>
      </c>
      <c r="U27" s="44" t="n">
        <f aca="false">U13*Supuestos!$C$59</f>
        <v>36.21</v>
      </c>
      <c r="V27" s="44" t="n">
        <f aca="false">V13*Supuestos!$C$59</f>
        <v>36.975</v>
      </c>
      <c r="W27" s="44" t="n">
        <f aca="false">W13*Supuestos!$C$59</f>
        <v>37.74</v>
      </c>
      <c r="X27" s="44" t="n">
        <f aca="false">X13*Supuestos!$C$59</f>
        <v>38.505</v>
      </c>
      <c r="Y27" s="44" t="n">
        <f aca="false">Y13*Supuestos!$C$59</f>
        <v>39.27</v>
      </c>
      <c r="Z27" s="44" t="n">
        <f aca="false">Z13*Supuestos!$C$59</f>
        <v>40.035</v>
      </c>
      <c r="AA27" s="44" t="n">
        <f aca="false">AA13*Supuestos!$C$59</f>
        <v>57.8</v>
      </c>
      <c r="AB27" s="44" t="n">
        <f aca="false">AB13*Supuestos!$C$59</f>
        <v>59.075</v>
      </c>
      <c r="AC27" s="44" t="n">
        <f aca="false">AC13*Supuestos!$C$59</f>
        <v>60.35</v>
      </c>
      <c r="AD27" s="44" t="n">
        <f aca="false">AD13*Supuestos!$C$59</f>
        <v>61.625</v>
      </c>
      <c r="AE27" s="44" t="n">
        <f aca="false">AE13*Supuestos!$C$59</f>
        <v>62.9</v>
      </c>
      <c r="AF27" s="44" t="n">
        <f aca="false">AF13*Supuestos!$C$59</f>
        <v>64.175</v>
      </c>
      <c r="AG27" s="44" t="n">
        <f aca="false">AG13*Supuestos!$C$59</f>
        <v>65.45</v>
      </c>
      <c r="AH27" s="44" t="n">
        <f aca="false">AH13*Supuestos!$C$59</f>
        <v>66.725</v>
      </c>
      <c r="AI27" s="44" t="n">
        <f aca="false">AI13*Supuestos!$C$59</f>
        <v>68</v>
      </c>
      <c r="AJ27" s="44" t="n">
        <f aca="false">AJ13*Supuestos!$C$59</f>
        <v>69.275</v>
      </c>
      <c r="AK27" s="44" t="n">
        <f aca="false">AK13*Supuestos!$C$59</f>
        <v>70.55</v>
      </c>
      <c r="AL27" s="44" t="n">
        <f aca="false">AL13*Supuestos!$C$59</f>
        <v>71.825</v>
      </c>
      <c r="AM27" s="44" t="n">
        <f aca="false">AM13*Supuestos!$C$59</f>
        <v>73.1</v>
      </c>
      <c r="AN27" s="44" t="n">
        <f aca="false">AN13*Supuestos!$C$59</f>
        <v>74.375</v>
      </c>
      <c r="AO27" s="44" t="n">
        <f aca="false">AO13*Supuestos!$C$59</f>
        <v>75.65</v>
      </c>
      <c r="AP27" s="44" t="n">
        <f aca="false">AP13*Supuestos!$C$59</f>
        <v>76.925</v>
      </c>
      <c r="AQ27" s="44" t="n">
        <f aca="false">AQ13*Supuestos!$C$59</f>
        <v>78.2</v>
      </c>
      <c r="AR27" s="44" t="n">
        <f aca="false">AR13*Supuestos!$C$59</f>
        <v>79.475</v>
      </c>
      <c r="AS27" s="44" t="n">
        <f aca="false">AS13*Supuestos!$C$59</f>
        <v>80.75</v>
      </c>
      <c r="AT27" s="44" t="n">
        <f aca="false">AT13*Supuestos!$C$59</f>
        <v>82.025</v>
      </c>
      <c r="AU27" s="44" t="n">
        <f aca="false">AU13*Supuestos!$C$59</f>
        <v>83.3</v>
      </c>
      <c r="AV27" s="44" t="n">
        <f aca="false">AV13*Supuestos!$C$59</f>
        <v>84.575</v>
      </c>
      <c r="AW27" s="44" t="n">
        <f aca="false">AW13*Supuestos!$C$59</f>
        <v>85.85</v>
      </c>
      <c r="AX27" s="44" t="n">
        <f aca="false">AX13*Supuestos!$C$59</f>
        <v>87.125</v>
      </c>
      <c r="AY27" s="44" t="n">
        <f aca="false">AY13*Supuestos!$C$59</f>
        <v>88.4</v>
      </c>
      <c r="AZ27" s="44" t="n">
        <f aca="false">AZ13*Supuestos!$C$59</f>
        <v>89.675</v>
      </c>
      <c r="BA27" s="44" t="n">
        <f aca="false">BA13*Supuestos!$C$59</f>
        <v>90.95</v>
      </c>
      <c r="BB27" s="44" t="n">
        <f aca="false">BB13*Supuestos!$C$59</f>
        <v>92.225</v>
      </c>
      <c r="BC27" s="44" t="n">
        <f aca="false">BC13*Supuestos!$C$59</f>
        <v>93.5</v>
      </c>
      <c r="BD27" s="44" t="n">
        <f aca="false">BD13*Supuestos!$C$59</f>
        <v>94.775</v>
      </c>
      <c r="BE27" s="44" t="n">
        <f aca="false">BE13*Supuestos!$C$59</f>
        <v>96.05</v>
      </c>
      <c r="BF27" s="44" t="n">
        <f aca="false">BF13*Supuestos!$C$59</f>
        <v>97.325</v>
      </c>
      <c r="BG27" s="44" t="n">
        <f aca="false">BG13*Supuestos!$C$59</f>
        <v>98.6</v>
      </c>
      <c r="BH27" s="44" t="n">
        <f aca="false">BH13*Supuestos!$C$59</f>
        <v>99.875</v>
      </c>
      <c r="BI27" s="44" t="n">
        <f aca="false">BI13*Supuestos!$C$59</f>
        <v>101.15</v>
      </c>
      <c r="BJ27" s="44" t="n">
        <f aca="false">BJ13*Supuestos!$C$59</f>
        <v>102.425</v>
      </c>
    </row>
    <row r="28" customFormat="false" ht="15" hidden="false" customHeight="true" outlineLevel="0" collapsed="false">
      <c r="A28" s="10" t="s">
        <v>254</v>
      </c>
      <c r="B28" s="7" t="s">
        <v>115</v>
      </c>
      <c r="C28" s="44" t="n">
        <f aca="false">C13*Supuestos!$C$60</f>
        <v>39.984</v>
      </c>
      <c r="D28" s="44" t="n">
        <f aca="false">D13*Supuestos!$C$60</f>
        <v>21.21552</v>
      </c>
      <c r="E28" s="44" t="n">
        <f aca="false">E13*Supuestos!$C$60</f>
        <v>41.784</v>
      </c>
      <c r="F28" s="44" t="n">
        <f aca="false">F13*Supuestos!$C$60</f>
        <v>43.03152</v>
      </c>
      <c r="G28" s="44" t="n">
        <f aca="false">G13*Supuestos!$C$60</f>
        <v>44.18448</v>
      </c>
      <c r="H28" s="44" t="n">
        <f aca="false">H13*Supuestos!$C$60</f>
        <v>45.384</v>
      </c>
      <c r="I28" s="44" t="n">
        <f aca="false">I13*Supuestos!$C$60</f>
        <v>46.63152</v>
      </c>
      <c r="J28" s="44" t="n">
        <f aca="false">J13*Supuestos!$C$60</f>
        <v>67.80048</v>
      </c>
      <c r="K28" s="44" t="n">
        <f aca="false">K13*Supuestos!$C$60</f>
        <v>49.58448</v>
      </c>
      <c r="L28" s="44" t="n">
        <f aca="false">L13*Supuestos!$C$60</f>
        <v>50.7840000000001</v>
      </c>
      <c r="M28" s="44" t="n">
        <f aca="false">M13*Supuestos!$C$60</f>
        <v>52.0315199999999</v>
      </c>
      <c r="N28" s="44" t="n">
        <f aca="false">N13*Supuestos!$C$60</f>
        <v>53.18448</v>
      </c>
      <c r="O28" s="44" t="n">
        <f aca="false">O13*Supuestos!$C$60</f>
        <v>74.4</v>
      </c>
      <c r="P28" s="44" t="n">
        <f aca="false">P13*Supuestos!$C$60</f>
        <v>76.2000000000001</v>
      </c>
      <c r="Q28" s="44" t="n">
        <f aca="false">Q13*Supuestos!$C$60</f>
        <v>78</v>
      </c>
      <c r="R28" s="44" t="n">
        <f aca="false">R13*Supuestos!$C$60</f>
        <v>79.8</v>
      </c>
      <c r="S28" s="44" t="n">
        <f aca="false">S13*Supuestos!$C$60</f>
        <v>81.6</v>
      </c>
      <c r="T28" s="44" t="n">
        <f aca="false">T13*Supuestos!$C$60</f>
        <v>83.4</v>
      </c>
      <c r="U28" s="44" t="n">
        <f aca="false">U13*Supuestos!$C$60</f>
        <v>85.2000000000001</v>
      </c>
      <c r="V28" s="44" t="n">
        <f aca="false">V13*Supuestos!$C$60</f>
        <v>87</v>
      </c>
      <c r="W28" s="44" t="n">
        <f aca="false">W13*Supuestos!$C$60</f>
        <v>88.8</v>
      </c>
      <c r="X28" s="44" t="n">
        <f aca="false">X13*Supuestos!$C$60</f>
        <v>90.6</v>
      </c>
      <c r="Y28" s="44" t="n">
        <f aca="false">Y13*Supuestos!$C$60</f>
        <v>92.4000000000001</v>
      </c>
      <c r="Z28" s="44" t="n">
        <f aca="false">Z13*Supuestos!$C$60</f>
        <v>94.2000000000001</v>
      </c>
      <c r="AA28" s="44" t="n">
        <f aca="false">AA13*Supuestos!$C$60</f>
        <v>136</v>
      </c>
      <c r="AB28" s="44" t="n">
        <f aca="false">AB13*Supuestos!$C$60</f>
        <v>139</v>
      </c>
      <c r="AC28" s="44" t="n">
        <f aca="false">AC13*Supuestos!$C$60</f>
        <v>142</v>
      </c>
      <c r="AD28" s="44" t="n">
        <f aca="false">AD13*Supuestos!$C$60</f>
        <v>145</v>
      </c>
      <c r="AE28" s="44" t="n">
        <f aca="false">AE13*Supuestos!$C$60</f>
        <v>148</v>
      </c>
      <c r="AF28" s="44" t="n">
        <f aca="false">AF13*Supuestos!$C$60</f>
        <v>151</v>
      </c>
      <c r="AG28" s="44" t="n">
        <f aca="false">AG13*Supuestos!$C$60</f>
        <v>154</v>
      </c>
      <c r="AH28" s="44" t="n">
        <f aca="false">AH13*Supuestos!$C$60</f>
        <v>157</v>
      </c>
      <c r="AI28" s="44" t="n">
        <f aca="false">AI13*Supuestos!$C$60</f>
        <v>160</v>
      </c>
      <c r="AJ28" s="44" t="n">
        <f aca="false">AJ13*Supuestos!$C$60</f>
        <v>163</v>
      </c>
      <c r="AK28" s="44" t="n">
        <f aca="false">AK13*Supuestos!$C$60</f>
        <v>166</v>
      </c>
      <c r="AL28" s="44" t="n">
        <f aca="false">AL13*Supuestos!$C$60</f>
        <v>169</v>
      </c>
      <c r="AM28" s="44" t="n">
        <f aca="false">AM13*Supuestos!$C$60</f>
        <v>172</v>
      </c>
      <c r="AN28" s="44" t="n">
        <f aca="false">AN13*Supuestos!$C$60</f>
        <v>175</v>
      </c>
      <c r="AO28" s="44" t="n">
        <f aca="false">AO13*Supuestos!$C$60</f>
        <v>178</v>
      </c>
      <c r="AP28" s="44" t="n">
        <f aca="false">AP13*Supuestos!$C$60</f>
        <v>181</v>
      </c>
      <c r="AQ28" s="44" t="n">
        <f aca="false">AQ13*Supuestos!$C$60</f>
        <v>184</v>
      </c>
      <c r="AR28" s="44" t="n">
        <f aca="false">AR13*Supuestos!$C$60</f>
        <v>187</v>
      </c>
      <c r="AS28" s="44" t="n">
        <f aca="false">AS13*Supuestos!$C$60</f>
        <v>190</v>
      </c>
      <c r="AT28" s="44" t="n">
        <f aca="false">AT13*Supuestos!$C$60</f>
        <v>193</v>
      </c>
      <c r="AU28" s="44" t="n">
        <f aca="false">AU13*Supuestos!$C$60</f>
        <v>196</v>
      </c>
      <c r="AV28" s="44" t="n">
        <f aca="false">AV13*Supuestos!$C$60</f>
        <v>199</v>
      </c>
      <c r="AW28" s="44" t="n">
        <f aca="false">AW13*Supuestos!$C$60</f>
        <v>202</v>
      </c>
      <c r="AX28" s="44" t="n">
        <f aca="false">AX13*Supuestos!$C$60</f>
        <v>205</v>
      </c>
      <c r="AY28" s="44" t="n">
        <f aca="false">AY13*Supuestos!$C$60</f>
        <v>208</v>
      </c>
      <c r="AZ28" s="44" t="n">
        <f aca="false">AZ13*Supuestos!$C$60</f>
        <v>211</v>
      </c>
      <c r="BA28" s="44" t="n">
        <f aca="false">BA13*Supuestos!$C$60</f>
        <v>214</v>
      </c>
      <c r="BB28" s="44" t="n">
        <f aca="false">BB13*Supuestos!$C$60</f>
        <v>217</v>
      </c>
      <c r="BC28" s="44" t="n">
        <f aca="false">BC13*Supuestos!$C$60</f>
        <v>220</v>
      </c>
      <c r="BD28" s="44" t="n">
        <f aca="false">BD13*Supuestos!$C$60</f>
        <v>223</v>
      </c>
      <c r="BE28" s="44" t="n">
        <f aca="false">BE13*Supuestos!$C$60</f>
        <v>226</v>
      </c>
      <c r="BF28" s="44" t="n">
        <f aca="false">BF13*Supuestos!$C$60</f>
        <v>229</v>
      </c>
      <c r="BG28" s="44" t="n">
        <f aca="false">BG13*Supuestos!$C$60</f>
        <v>232</v>
      </c>
      <c r="BH28" s="44" t="n">
        <f aca="false">BH13*Supuestos!$C$60</f>
        <v>235</v>
      </c>
      <c r="BI28" s="44" t="n">
        <f aca="false">BI13*Supuestos!$C$60</f>
        <v>238</v>
      </c>
      <c r="BJ28" s="44" t="n">
        <f aca="false">BJ13*Supuestos!$C$60</f>
        <v>241</v>
      </c>
    </row>
    <row r="29" customFormat="false" ht="15" hidden="false" customHeight="true" outlineLevel="0" collapsed="false">
      <c r="A29" s="10" t="s">
        <v>255</v>
      </c>
      <c r="B29" s="7" t="s">
        <v>115</v>
      </c>
      <c r="C29" s="44" t="n">
        <f aca="false">Supuestos!$C$61+C14/100*Supuestos!$C$62</f>
        <v>80.4998</v>
      </c>
      <c r="D29" s="44" t="n">
        <f aca="false">Supuestos!$C$61+D14/100*Supuestos!$C$62</f>
        <v>80.75</v>
      </c>
      <c r="E29" s="44" t="n">
        <f aca="false">Supuestos!$C$61+E14/100*Supuestos!$C$62</f>
        <v>81.2498</v>
      </c>
      <c r="F29" s="44" t="n">
        <f aca="false">Supuestos!$C$61+F14/100*Supuestos!$C$62</f>
        <v>81.7502</v>
      </c>
      <c r="G29" s="44" t="n">
        <f aca="false">Supuestos!$C$61+G14/100*Supuestos!$C$62</f>
        <v>82.25</v>
      </c>
      <c r="H29" s="44" t="n">
        <f aca="false">Supuestos!$C$61+H14/100*Supuestos!$C$62</f>
        <v>82.7498</v>
      </c>
      <c r="I29" s="44" t="n">
        <f aca="false">Supuestos!$C$61+I14/100*Supuestos!$C$62</f>
        <v>83.2502</v>
      </c>
      <c r="J29" s="44" t="n">
        <f aca="false">Supuestos!$C$61+J14/100*Supuestos!$C$62</f>
        <v>84.0002</v>
      </c>
      <c r="K29" s="44" t="n">
        <f aca="false">Supuestos!$C$61+K14/100*Supuestos!$C$62</f>
        <v>84.5</v>
      </c>
      <c r="L29" s="44" t="n">
        <f aca="false">Supuestos!$C$61+L14/100*Supuestos!$C$62</f>
        <v>84.9998</v>
      </c>
      <c r="M29" s="44" t="n">
        <f aca="false">Supuestos!$C$61+M14/100*Supuestos!$C$62</f>
        <v>85.5002</v>
      </c>
      <c r="N29" s="44" t="n">
        <f aca="false">Supuestos!$C$61+N14/100*Supuestos!$C$62</f>
        <v>86</v>
      </c>
      <c r="O29" s="44" t="n">
        <f aca="false">Supuestos!$C$61+O14/100*Supuestos!$C$62</f>
        <v>86.75</v>
      </c>
      <c r="P29" s="44" t="n">
        <f aca="false">Supuestos!$C$61+P14/100*Supuestos!$C$62</f>
        <v>87.5</v>
      </c>
      <c r="Q29" s="44" t="n">
        <f aca="false">Supuestos!$C$61+Q14/100*Supuestos!$C$62</f>
        <v>88.25</v>
      </c>
      <c r="R29" s="44" t="n">
        <f aca="false">Supuestos!$C$61+R14/100*Supuestos!$C$62</f>
        <v>89</v>
      </c>
      <c r="S29" s="44" t="n">
        <f aca="false">Supuestos!$C$61+S14/100*Supuestos!$C$62</f>
        <v>89.75</v>
      </c>
      <c r="T29" s="44" t="n">
        <f aca="false">Supuestos!$C$61+T14/100*Supuestos!$C$62</f>
        <v>90.5</v>
      </c>
      <c r="U29" s="44" t="n">
        <f aca="false">Supuestos!$C$61+U14/100*Supuestos!$C$62</f>
        <v>91.25</v>
      </c>
      <c r="V29" s="44" t="n">
        <f aca="false">Supuestos!$C$61+V14/100*Supuestos!$C$62</f>
        <v>92</v>
      </c>
      <c r="W29" s="44" t="n">
        <f aca="false">Supuestos!$C$61+W14/100*Supuestos!$C$62</f>
        <v>92.75</v>
      </c>
      <c r="X29" s="44" t="n">
        <f aca="false">Supuestos!$C$61+X14/100*Supuestos!$C$62</f>
        <v>93.5</v>
      </c>
      <c r="Y29" s="44" t="n">
        <f aca="false">Supuestos!$C$61+Y14/100*Supuestos!$C$62</f>
        <v>94.25</v>
      </c>
      <c r="Z29" s="44" t="n">
        <f aca="false">Supuestos!$C$61+Z14/100*Supuestos!$C$62</f>
        <v>95</v>
      </c>
      <c r="AA29" s="44" t="n">
        <f aca="false">Supuestos!$C$61+AA14/100*Supuestos!$C$62</f>
        <v>96.25</v>
      </c>
      <c r="AB29" s="44" t="n">
        <f aca="false">Supuestos!$C$61+AB14/100*Supuestos!$C$62</f>
        <v>97.5</v>
      </c>
      <c r="AC29" s="44" t="n">
        <f aca="false">Supuestos!$C$61+AC14/100*Supuestos!$C$62</f>
        <v>98.75</v>
      </c>
      <c r="AD29" s="44" t="n">
        <f aca="false">Supuestos!$C$61+AD14/100*Supuestos!$C$62</f>
        <v>100</v>
      </c>
      <c r="AE29" s="44" t="n">
        <f aca="false">Supuestos!$C$61+AE14/100*Supuestos!$C$62</f>
        <v>101.25</v>
      </c>
      <c r="AF29" s="44" t="n">
        <f aca="false">Supuestos!$C$61+AF14/100*Supuestos!$C$62</f>
        <v>102.5</v>
      </c>
      <c r="AG29" s="44" t="n">
        <f aca="false">Supuestos!$C$61+AG14/100*Supuestos!$C$62</f>
        <v>103.75</v>
      </c>
      <c r="AH29" s="44" t="n">
        <f aca="false">Supuestos!$C$61+AH14/100*Supuestos!$C$62</f>
        <v>105</v>
      </c>
      <c r="AI29" s="44" t="n">
        <f aca="false">Supuestos!$C$61+AI14/100*Supuestos!$C$62</f>
        <v>106.25</v>
      </c>
      <c r="AJ29" s="44" t="n">
        <f aca="false">Supuestos!$C$61+AJ14/100*Supuestos!$C$62</f>
        <v>107.5</v>
      </c>
      <c r="AK29" s="44" t="n">
        <f aca="false">Supuestos!$C$61+AK14/100*Supuestos!$C$62</f>
        <v>108.75</v>
      </c>
      <c r="AL29" s="44" t="n">
        <f aca="false">Supuestos!$C$61+AL14/100*Supuestos!$C$62</f>
        <v>110</v>
      </c>
      <c r="AM29" s="44" t="n">
        <f aca="false">Supuestos!$C$61+AM14/100*Supuestos!$C$62</f>
        <v>111.25</v>
      </c>
      <c r="AN29" s="44" t="n">
        <f aca="false">Supuestos!$C$61+AN14/100*Supuestos!$C$62</f>
        <v>112.5</v>
      </c>
      <c r="AO29" s="44" t="n">
        <f aca="false">Supuestos!$C$61+AO14/100*Supuestos!$C$62</f>
        <v>113.75</v>
      </c>
      <c r="AP29" s="44" t="n">
        <f aca="false">Supuestos!$C$61+AP14/100*Supuestos!$C$62</f>
        <v>115</v>
      </c>
      <c r="AQ29" s="44" t="n">
        <f aca="false">Supuestos!$C$61+AQ14/100*Supuestos!$C$62</f>
        <v>116.25</v>
      </c>
      <c r="AR29" s="44" t="n">
        <f aca="false">Supuestos!$C$61+AR14/100*Supuestos!$C$62</f>
        <v>117.5</v>
      </c>
      <c r="AS29" s="44" t="n">
        <f aca="false">Supuestos!$C$61+AS14/100*Supuestos!$C$62</f>
        <v>118.75</v>
      </c>
      <c r="AT29" s="44" t="n">
        <f aca="false">Supuestos!$C$61+AT14/100*Supuestos!$C$62</f>
        <v>120</v>
      </c>
      <c r="AU29" s="44" t="n">
        <f aca="false">Supuestos!$C$61+AU14/100*Supuestos!$C$62</f>
        <v>121.25</v>
      </c>
      <c r="AV29" s="44" t="n">
        <f aca="false">Supuestos!$C$61+AV14/100*Supuestos!$C$62</f>
        <v>122.5</v>
      </c>
      <c r="AW29" s="44" t="n">
        <f aca="false">Supuestos!$C$61+AW14/100*Supuestos!$C$62</f>
        <v>123.75</v>
      </c>
      <c r="AX29" s="44" t="n">
        <f aca="false">Supuestos!$C$61+AX14/100*Supuestos!$C$62</f>
        <v>125</v>
      </c>
      <c r="AY29" s="44" t="n">
        <f aca="false">Supuestos!$C$61+AY14/100*Supuestos!$C$62</f>
        <v>126.25</v>
      </c>
      <c r="AZ29" s="44" t="n">
        <f aca="false">Supuestos!$C$61+AZ14/100*Supuestos!$C$62</f>
        <v>127.5</v>
      </c>
      <c r="BA29" s="44" t="n">
        <f aca="false">Supuestos!$C$61+BA14/100*Supuestos!$C$62</f>
        <v>128.75</v>
      </c>
      <c r="BB29" s="44" t="n">
        <f aca="false">Supuestos!$C$61+BB14/100*Supuestos!$C$62</f>
        <v>130</v>
      </c>
      <c r="BC29" s="44" t="n">
        <f aca="false">Supuestos!$C$61+BC14/100*Supuestos!$C$62</f>
        <v>131.25</v>
      </c>
      <c r="BD29" s="44" t="n">
        <f aca="false">Supuestos!$C$61+BD14/100*Supuestos!$C$62</f>
        <v>132.5</v>
      </c>
      <c r="BE29" s="44" t="n">
        <f aca="false">Supuestos!$C$61+BE14/100*Supuestos!$C$62</f>
        <v>133.75</v>
      </c>
      <c r="BF29" s="44" t="n">
        <f aca="false">Supuestos!$C$61+BF14/100*Supuestos!$C$62</f>
        <v>135</v>
      </c>
      <c r="BG29" s="44" t="n">
        <f aca="false">Supuestos!$C$61+BG14/100*Supuestos!$C$62</f>
        <v>136.25</v>
      </c>
      <c r="BH29" s="44" t="n">
        <f aca="false">Supuestos!$C$61+BH14/100*Supuestos!$C$62</f>
        <v>137.5</v>
      </c>
      <c r="BI29" s="44" t="n">
        <f aca="false">Supuestos!$C$61+BI14/100*Supuestos!$C$62</f>
        <v>138.75</v>
      </c>
      <c r="BJ29" s="44" t="n">
        <f aca="false">Supuestos!$C$61+BJ14/100*Supuestos!$C$62</f>
        <v>140</v>
      </c>
    </row>
    <row r="30" customFormat="false" ht="15" hidden="false" customHeight="true" outlineLevel="0" collapsed="false">
      <c r="A30" s="16" t="s">
        <v>256</v>
      </c>
      <c r="B30" s="7" t="s">
        <v>115</v>
      </c>
      <c r="C30" s="45" t="n">
        <f aca="false">SUM(C26:C29)</f>
        <v>140.809</v>
      </c>
      <c r="D30" s="45" t="n">
        <f aca="false">SUM(D26:D29)</f>
        <v>115.982116</v>
      </c>
      <c r="E30" s="45" t="n">
        <f aca="false">SUM(E26:E29)</f>
        <v>149.124</v>
      </c>
      <c r="F30" s="45" t="n">
        <f aca="false">SUM(F26:F29)</f>
        <v>154.738116</v>
      </c>
      <c r="G30" s="45" t="n">
        <f aca="false">SUM(G26:G29)</f>
        <v>160.212884</v>
      </c>
      <c r="H30" s="45" t="n">
        <f aca="false">SUM(H26:H29)</f>
        <v>165.754</v>
      </c>
      <c r="I30" s="45" t="n">
        <f aca="false">SUM(I26:I29)</f>
        <v>171.368116</v>
      </c>
      <c r="J30" s="45" t="n">
        <f aca="false">SUM(J26:J29)</f>
        <v>207.283884</v>
      </c>
      <c r="K30" s="45" t="n">
        <f aca="false">SUM(K26:K29)</f>
        <v>185.157884</v>
      </c>
      <c r="L30" s="45" t="n">
        <f aca="false">SUM(L26:L29)</f>
        <v>190.699</v>
      </c>
      <c r="M30" s="45" t="n">
        <f aca="false">SUM(M26:M29)</f>
        <v>196.313116</v>
      </c>
      <c r="N30" s="45" t="n">
        <f aca="false">SUM(N26:N29)</f>
        <v>201.787884</v>
      </c>
      <c r="O30" s="45" t="n">
        <f aca="false">SUM(O26:O29)</f>
        <v>237.77</v>
      </c>
      <c r="P30" s="45" t="n">
        <f aca="false">SUM(P26:P29)</f>
        <v>246.085</v>
      </c>
      <c r="Q30" s="45" t="n">
        <f aca="false">SUM(Q26:Q29)</f>
        <v>254.4</v>
      </c>
      <c r="R30" s="45" t="n">
        <f aca="false">SUM(R26:R29)</f>
        <v>262.715</v>
      </c>
      <c r="S30" s="45" t="n">
        <f aca="false">SUM(S26:S29)</f>
        <v>271.03</v>
      </c>
      <c r="T30" s="45" t="n">
        <f aca="false">SUM(T26:T29)</f>
        <v>279.345</v>
      </c>
      <c r="U30" s="45" t="n">
        <f aca="false">SUM(U26:U29)</f>
        <v>287.66</v>
      </c>
      <c r="V30" s="45" t="n">
        <f aca="false">SUM(V26:V29)</f>
        <v>295.975</v>
      </c>
      <c r="W30" s="45" t="n">
        <f aca="false">SUM(W26:W29)</f>
        <v>304.29</v>
      </c>
      <c r="X30" s="45" t="n">
        <f aca="false">SUM(X26:X29)</f>
        <v>312.605</v>
      </c>
      <c r="Y30" s="45" t="n">
        <f aca="false">SUM(Y26:Y29)</f>
        <v>320.92</v>
      </c>
      <c r="Z30" s="45" t="n">
        <f aca="false">SUM(Z26:Z29)</f>
        <v>329.235</v>
      </c>
      <c r="AA30" s="45" t="n">
        <f aca="false">SUM(AA26:AA29)</f>
        <v>398.383333333333</v>
      </c>
      <c r="AB30" s="45" t="n">
        <f aca="false">SUM(AB26:AB29)</f>
        <v>412.241666666667</v>
      </c>
      <c r="AC30" s="45" t="n">
        <f aca="false">SUM(AC26:AC29)</f>
        <v>426.1</v>
      </c>
      <c r="AD30" s="45" t="n">
        <f aca="false">SUM(AD26:AD29)</f>
        <v>439.958333333333</v>
      </c>
      <c r="AE30" s="45" t="n">
        <f aca="false">SUM(AE26:AE29)</f>
        <v>453.816666666667</v>
      </c>
      <c r="AF30" s="45" t="n">
        <f aca="false">SUM(AF26:AF29)</f>
        <v>467.675</v>
      </c>
      <c r="AG30" s="45" t="n">
        <f aca="false">SUM(AG26:AG29)</f>
        <v>481.533333333333</v>
      </c>
      <c r="AH30" s="45" t="n">
        <f aca="false">SUM(AH26:AH29)</f>
        <v>495.391666666667</v>
      </c>
      <c r="AI30" s="45" t="n">
        <f aca="false">SUM(AI26:AI29)</f>
        <v>509.25</v>
      </c>
      <c r="AJ30" s="45" t="n">
        <f aca="false">SUM(AJ26:AJ29)</f>
        <v>523.108333333333</v>
      </c>
      <c r="AK30" s="45" t="n">
        <f aca="false">SUM(AK26:AK29)</f>
        <v>536.966666666667</v>
      </c>
      <c r="AL30" s="45" t="n">
        <f aca="false">SUM(AL26:AL29)</f>
        <v>550.825</v>
      </c>
      <c r="AM30" s="45" t="n">
        <f aca="false">SUM(AM26:AM29)</f>
        <v>564.683333333333</v>
      </c>
      <c r="AN30" s="45" t="n">
        <f aca="false">SUM(AN26:AN29)</f>
        <v>578.541666666667</v>
      </c>
      <c r="AO30" s="45" t="n">
        <f aca="false">SUM(AO26:AO29)</f>
        <v>592.4</v>
      </c>
      <c r="AP30" s="45" t="n">
        <f aca="false">SUM(AP26:AP29)</f>
        <v>606.258333333333</v>
      </c>
      <c r="AQ30" s="45" t="n">
        <f aca="false">SUM(AQ26:AQ29)</f>
        <v>620.116666666667</v>
      </c>
      <c r="AR30" s="45" t="n">
        <f aca="false">SUM(AR26:AR29)</f>
        <v>633.975</v>
      </c>
      <c r="AS30" s="45" t="n">
        <f aca="false">SUM(AS26:AS29)</f>
        <v>647.833333333333</v>
      </c>
      <c r="AT30" s="45" t="n">
        <f aca="false">SUM(AT26:AT29)</f>
        <v>661.691666666667</v>
      </c>
      <c r="AU30" s="45" t="n">
        <f aca="false">SUM(AU26:AU29)</f>
        <v>675.55</v>
      </c>
      <c r="AV30" s="45" t="n">
        <f aca="false">SUM(AV26:AV29)</f>
        <v>689.408333333333</v>
      </c>
      <c r="AW30" s="45" t="n">
        <f aca="false">SUM(AW26:AW29)</f>
        <v>703.266666666667</v>
      </c>
      <c r="AX30" s="45" t="n">
        <f aca="false">SUM(AX26:AX29)</f>
        <v>717.125</v>
      </c>
      <c r="AY30" s="45" t="n">
        <f aca="false">SUM(AY26:AY29)</f>
        <v>730.983333333333</v>
      </c>
      <c r="AZ30" s="45" t="n">
        <f aca="false">SUM(AZ26:AZ29)</f>
        <v>744.841666666667</v>
      </c>
      <c r="BA30" s="45" t="n">
        <f aca="false">SUM(BA26:BA29)</f>
        <v>758.7</v>
      </c>
      <c r="BB30" s="45" t="n">
        <f aca="false">SUM(BB26:BB29)</f>
        <v>772.558333333333</v>
      </c>
      <c r="BC30" s="45" t="n">
        <f aca="false">SUM(BC26:BC29)</f>
        <v>786.416666666667</v>
      </c>
      <c r="BD30" s="45" t="n">
        <f aca="false">SUM(BD26:BD29)</f>
        <v>800.275</v>
      </c>
      <c r="BE30" s="45" t="n">
        <f aca="false">SUM(BE26:BE29)</f>
        <v>814.133333333333</v>
      </c>
      <c r="BF30" s="45" t="n">
        <f aca="false">SUM(BF26:BF29)</f>
        <v>827.991666666667</v>
      </c>
      <c r="BG30" s="45" t="n">
        <f aca="false">SUM(BG26:BG29)</f>
        <v>841.85</v>
      </c>
      <c r="BH30" s="45" t="n">
        <f aca="false">SUM(BH26:BH29)</f>
        <v>855.708333333333</v>
      </c>
      <c r="BI30" s="45" t="n">
        <f aca="false">SUM(BI26:BI29)</f>
        <v>869.566666666667</v>
      </c>
      <c r="BJ30" s="45" t="n">
        <f aca="false">SUM(BJ26:BJ29)</f>
        <v>883.425</v>
      </c>
    </row>
    <row r="31" customFormat="false" ht="15" hidden="false" customHeight="true" outlineLevel="0" collapsed="false">
      <c r="A31" s="10" t="s">
        <v>257</v>
      </c>
      <c r="B31" s="7" t="s">
        <v>115</v>
      </c>
      <c r="C31" s="44" t="n">
        <f aca="false">Supuestos!$C$51*IF(C6=1,Supuestos!$C$54,IF(C6=2,Supuestos!$C$55,Supuestos!$C$56))</f>
        <v>240</v>
      </c>
      <c r="D31" s="44" t="n">
        <f aca="false">Supuestos!$C$51*IF(D6=1,Supuestos!$C$54,IF(D6=2,Supuestos!$C$55,Supuestos!$C$56))</f>
        <v>240</v>
      </c>
      <c r="E31" s="44" t="n">
        <f aca="false">Supuestos!$C$51*IF(E6=1,Supuestos!$C$54,IF(E6=2,Supuestos!$C$55,Supuestos!$C$56))</f>
        <v>240</v>
      </c>
      <c r="F31" s="44" t="n">
        <f aca="false">Supuestos!$C$51*IF(F6=1,Supuestos!$C$54,IF(F6=2,Supuestos!$C$55,Supuestos!$C$56))</f>
        <v>240</v>
      </c>
      <c r="G31" s="44" t="n">
        <f aca="false">Supuestos!$C$51*IF(G6=1,Supuestos!$C$54,IF(G6=2,Supuestos!$C$55,Supuestos!$C$56))</f>
        <v>240</v>
      </c>
      <c r="H31" s="44" t="n">
        <f aca="false">Supuestos!$C$51*IF(H6=1,Supuestos!$C$54,IF(H6=2,Supuestos!$C$55,Supuestos!$C$56))</f>
        <v>240</v>
      </c>
      <c r="I31" s="44" t="n">
        <f aca="false">Supuestos!$C$51*IF(I6=1,Supuestos!$C$54,IF(I6=2,Supuestos!$C$55,Supuestos!$C$56))</f>
        <v>240</v>
      </c>
      <c r="J31" s="44" t="n">
        <f aca="false">Supuestos!$C$51*IF(J6=1,Supuestos!$C$54,IF(J6=2,Supuestos!$C$55,Supuestos!$C$56))</f>
        <v>240</v>
      </c>
      <c r="K31" s="44" t="n">
        <f aca="false">Supuestos!$C$51*IF(K6=1,Supuestos!$C$54,IF(K6=2,Supuestos!$C$55,Supuestos!$C$56))</f>
        <v>240</v>
      </c>
      <c r="L31" s="44" t="n">
        <f aca="false">Supuestos!$C$51*IF(L6=1,Supuestos!$C$54,IF(L6=2,Supuestos!$C$55,Supuestos!$C$56))</f>
        <v>240</v>
      </c>
      <c r="M31" s="44" t="n">
        <f aca="false">Supuestos!$C$51*IF(M6=1,Supuestos!$C$54,IF(M6=2,Supuestos!$C$55,Supuestos!$C$56))</f>
        <v>240</v>
      </c>
      <c r="N31" s="44" t="n">
        <f aca="false">Supuestos!$C$51*IF(N6=1,Supuestos!$C$54,IF(N6=2,Supuestos!$C$55,Supuestos!$C$56))</f>
        <v>240</v>
      </c>
      <c r="O31" s="44" t="n">
        <f aca="false">Supuestos!$C$51*IF(O6=1,Supuestos!$C$54,IF(O6=2,Supuestos!$C$55,Supuestos!$C$56))</f>
        <v>360</v>
      </c>
      <c r="P31" s="44" t="n">
        <f aca="false">Supuestos!$C$51*IF(P6=1,Supuestos!$C$54,IF(P6=2,Supuestos!$C$55,Supuestos!$C$56))</f>
        <v>360</v>
      </c>
      <c r="Q31" s="44" t="n">
        <f aca="false">Supuestos!$C$51*IF(Q6=1,Supuestos!$C$54,IF(Q6=2,Supuestos!$C$55,Supuestos!$C$56))</f>
        <v>360</v>
      </c>
      <c r="R31" s="44" t="n">
        <f aca="false">Supuestos!$C$51*IF(R6=1,Supuestos!$C$54,IF(R6=2,Supuestos!$C$55,Supuestos!$C$56))</f>
        <v>360</v>
      </c>
      <c r="S31" s="44" t="n">
        <f aca="false">Supuestos!$C$51*IF(S6=1,Supuestos!$C$54,IF(S6=2,Supuestos!$C$55,Supuestos!$C$56))</f>
        <v>360</v>
      </c>
      <c r="T31" s="44" t="n">
        <f aca="false">Supuestos!$C$51*IF(T6=1,Supuestos!$C$54,IF(T6=2,Supuestos!$C$55,Supuestos!$C$56))</f>
        <v>360</v>
      </c>
      <c r="U31" s="44" t="n">
        <f aca="false">Supuestos!$C$51*IF(U6=1,Supuestos!$C$54,IF(U6=2,Supuestos!$C$55,Supuestos!$C$56))</f>
        <v>360</v>
      </c>
      <c r="V31" s="44" t="n">
        <f aca="false">Supuestos!$C$51*IF(V6=1,Supuestos!$C$54,IF(V6=2,Supuestos!$C$55,Supuestos!$C$56))</f>
        <v>360</v>
      </c>
      <c r="W31" s="44" t="n">
        <f aca="false">Supuestos!$C$51*IF(W6=1,Supuestos!$C$54,IF(W6=2,Supuestos!$C$55,Supuestos!$C$56))</f>
        <v>360</v>
      </c>
      <c r="X31" s="44" t="n">
        <f aca="false">Supuestos!$C$51*IF(X6=1,Supuestos!$C$54,IF(X6=2,Supuestos!$C$55,Supuestos!$C$56))</f>
        <v>360</v>
      </c>
      <c r="Y31" s="44" t="n">
        <f aca="false">Supuestos!$C$51*IF(Y6=1,Supuestos!$C$54,IF(Y6=2,Supuestos!$C$55,Supuestos!$C$56))</f>
        <v>360</v>
      </c>
      <c r="Z31" s="44" t="n">
        <f aca="false">Supuestos!$C$51*IF(Z6=1,Supuestos!$C$54,IF(Z6=2,Supuestos!$C$55,Supuestos!$C$56))</f>
        <v>360</v>
      </c>
      <c r="AA31" s="44" t="n">
        <f aca="false">Supuestos!$C$51*IF(AA6=1,Supuestos!$C$54,IF(AA6=2,Supuestos!$C$55,Supuestos!$C$56))</f>
        <v>480</v>
      </c>
      <c r="AB31" s="44" t="n">
        <f aca="false">Supuestos!$C$51*IF(AB6=1,Supuestos!$C$54,IF(AB6=2,Supuestos!$C$55,Supuestos!$C$56))</f>
        <v>480</v>
      </c>
      <c r="AC31" s="44" t="n">
        <f aca="false">Supuestos!$C$51*IF(AC6=1,Supuestos!$C$54,IF(AC6=2,Supuestos!$C$55,Supuestos!$C$56))</f>
        <v>480</v>
      </c>
      <c r="AD31" s="44" t="n">
        <f aca="false">Supuestos!$C$51*IF(AD6=1,Supuestos!$C$54,IF(AD6=2,Supuestos!$C$55,Supuestos!$C$56))</f>
        <v>480</v>
      </c>
      <c r="AE31" s="44" t="n">
        <f aca="false">Supuestos!$C$51*IF(AE6=1,Supuestos!$C$54,IF(AE6=2,Supuestos!$C$55,Supuestos!$C$56))</f>
        <v>480</v>
      </c>
      <c r="AF31" s="44" t="n">
        <f aca="false">Supuestos!$C$51*IF(AF6=1,Supuestos!$C$54,IF(AF6=2,Supuestos!$C$55,Supuestos!$C$56))</f>
        <v>480</v>
      </c>
      <c r="AG31" s="44" t="n">
        <f aca="false">Supuestos!$C$51*IF(AG6=1,Supuestos!$C$54,IF(AG6=2,Supuestos!$C$55,Supuestos!$C$56))</f>
        <v>480</v>
      </c>
      <c r="AH31" s="44" t="n">
        <f aca="false">Supuestos!$C$51*IF(AH6=1,Supuestos!$C$54,IF(AH6=2,Supuestos!$C$55,Supuestos!$C$56))</f>
        <v>480</v>
      </c>
      <c r="AI31" s="44" t="n">
        <f aca="false">Supuestos!$C$51*IF(AI6=1,Supuestos!$C$54,IF(AI6=2,Supuestos!$C$55,Supuestos!$C$56))</f>
        <v>480</v>
      </c>
      <c r="AJ31" s="44" t="n">
        <f aca="false">Supuestos!$C$51*IF(AJ6=1,Supuestos!$C$54,IF(AJ6=2,Supuestos!$C$55,Supuestos!$C$56))</f>
        <v>480</v>
      </c>
      <c r="AK31" s="44" t="n">
        <f aca="false">Supuestos!$C$51*IF(AK6=1,Supuestos!$C$54,IF(AK6=2,Supuestos!$C$55,Supuestos!$C$56))</f>
        <v>480</v>
      </c>
      <c r="AL31" s="44" t="n">
        <f aca="false">Supuestos!$C$51*IF(AL6=1,Supuestos!$C$54,IF(AL6=2,Supuestos!$C$55,Supuestos!$C$56))</f>
        <v>480</v>
      </c>
      <c r="AM31" s="44" t="n">
        <f aca="false">Supuestos!$C$51*IF(AM6=1,Supuestos!$C$54,IF(AM6=2,Supuestos!$C$55,Supuestos!$C$56))</f>
        <v>480</v>
      </c>
      <c r="AN31" s="44" t="n">
        <f aca="false">Supuestos!$C$51*IF(AN6=1,Supuestos!$C$54,IF(AN6=2,Supuestos!$C$55,Supuestos!$C$56))</f>
        <v>480</v>
      </c>
      <c r="AO31" s="44" t="n">
        <f aca="false">Supuestos!$C$51*IF(AO6=1,Supuestos!$C$54,IF(AO6=2,Supuestos!$C$55,Supuestos!$C$56))</f>
        <v>480</v>
      </c>
      <c r="AP31" s="44" t="n">
        <f aca="false">Supuestos!$C$51*IF(AP6=1,Supuestos!$C$54,IF(AP6=2,Supuestos!$C$55,Supuestos!$C$56))</f>
        <v>480</v>
      </c>
      <c r="AQ31" s="44" t="n">
        <f aca="false">Supuestos!$C$51*IF(AQ6=1,Supuestos!$C$54,IF(AQ6=2,Supuestos!$C$55,Supuestos!$C$56))</f>
        <v>480</v>
      </c>
      <c r="AR31" s="44" t="n">
        <f aca="false">Supuestos!$C$51*IF(AR6=1,Supuestos!$C$54,IF(AR6=2,Supuestos!$C$55,Supuestos!$C$56))</f>
        <v>480</v>
      </c>
      <c r="AS31" s="44" t="n">
        <f aca="false">Supuestos!$C$51*IF(AS6=1,Supuestos!$C$54,IF(AS6=2,Supuestos!$C$55,Supuestos!$C$56))</f>
        <v>480</v>
      </c>
      <c r="AT31" s="44" t="n">
        <f aca="false">Supuestos!$C$51*IF(AT6=1,Supuestos!$C$54,IF(AT6=2,Supuestos!$C$55,Supuestos!$C$56))</f>
        <v>480</v>
      </c>
      <c r="AU31" s="44" t="n">
        <f aca="false">Supuestos!$C$51*IF(AU6=1,Supuestos!$C$54,IF(AU6=2,Supuestos!$C$55,Supuestos!$C$56))</f>
        <v>480</v>
      </c>
      <c r="AV31" s="44" t="n">
        <f aca="false">Supuestos!$C$51*IF(AV6=1,Supuestos!$C$54,IF(AV6=2,Supuestos!$C$55,Supuestos!$C$56))</f>
        <v>480</v>
      </c>
      <c r="AW31" s="44" t="n">
        <f aca="false">Supuestos!$C$51*IF(AW6=1,Supuestos!$C$54,IF(AW6=2,Supuestos!$C$55,Supuestos!$C$56))</f>
        <v>480</v>
      </c>
      <c r="AX31" s="44" t="n">
        <f aca="false">Supuestos!$C$51*IF(AX6=1,Supuestos!$C$54,IF(AX6=2,Supuestos!$C$55,Supuestos!$C$56))</f>
        <v>480</v>
      </c>
      <c r="AY31" s="44" t="n">
        <f aca="false">Supuestos!$C$51*IF(AY6=1,Supuestos!$C$54,IF(AY6=2,Supuestos!$C$55,Supuestos!$C$56))</f>
        <v>480</v>
      </c>
      <c r="AZ31" s="44" t="n">
        <f aca="false">Supuestos!$C$51*IF(AZ6=1,Supuestos!$C$54,IF(AZ6=2,Supuestos!$C$55,Supuestos!$C$56))</f>
        <v>480</v>
      </c>
      <c r="BA31" s="44" t="n">
        <f aca="false">Supuestos!$C$51*IF(BA6=1,Supuestos!$C$54,IF(BA6=2,Supuestos!$C$55,Supuestos!$C$56))</f>
        <v>480</v>
      </c>
      <c r="BB31" s="44" t="n">
        <f aca="false">Supuestos!$C$51*IF(BB6=1,Supuestos!$C$54,IF(BB6=2,Supuestos!$C$55,Supuestos!$C$56))</f>
        <v>480</v>
      </c>
      <c r="BC31" s="44" t="n">
        <f aca="false">Supuestos!$C$51*IF(BC6=1,Supuestos!$C$54,IF(BC6=2,Supuestos!$C$55,Supuestos!$C$56))</f>
        <v>480</v>
      </c>
      <c r="BD31" s="44" t="n">
        <f aca="false">Supuestos!$C$51*IF(BD6=1,Supuestos!$C$54,IF(BD6=2,Supuestos!$C$55,Supuestos!$C$56))</f>
        <v>480</v>
      </c>
      <c r="BE31" s="44" t="n">
        <f aca="false">Supuestos!$C$51*IF(BE6=1,Supuestos!$C$54,IF(BE6=2,Supuestos!$C$55,Supuestos!$C$56))</f>
        <v>480</v>
      </c>
      <c r="BF31" s="44" t="n">
        <f aca="false">Supuestos!$C$51*IF(BF6=1,Supuestos!$C$54,IF(BF6=2,Supuestos!$C$55,Supuestos!$C$56))</f>
        <v>480</v>
      </c>
      <c r="BG31" s="44" t="n">
        <f aca="false">Supuestos!$C$51*IF(BG6=1,Supuestos!$C$54,IF(BG6=2,Supuestos!$C$55,Supuestos!$C$56))</f>
        <v>480</v>
      </c>
      <c r="BH31" s="44" t="n">
        <f aca="false">Supuestos!$C$51*IF(BH6=1,Supuestos!$C$54,IF(BH6=2,Supuestos!$C$55,Supuestos!$C$56))</f>
        <v>480</v>
      </c>
      <c r="BI31" s="44" t="n">
        <f aca="false">Supuestos!$C$51*IF(BI6=1,Supuestos!$C$54,IF(BI6=2,Supuestos!$C$55,Supuestos!$C$56))</f>
        <v>480</v>
      </c>
      <c r="BJ31" s="44" t="n">
        <f aca="false">Supuestos!$C$51*IF(BJ6=1,Supuestos!$C$54,IF(BJ6=2,Supuestos!$C$55,Supuestos!$C$56))</f>
        <v>480</v>
      </c>
    </row>
    <row r="32" customFormat="false" ht="15" hidden="false" customHeight="true" outlineLevel="0" collapsed="false">
      <c r="A32" s="16" t="s">
        <v>258</v>
      </c>
      <c r="B32" s="7" t="s">
        <v>109</v>
      </c>
      <c r="C32" s="46" t="n">
        <f aca="false">IF(Supuestos!$C$8=1,MAX(0,ROUNDUP((C30-C31)/Supuestos!$C$57,0)),IF(C5=1,1,IF(C6=1,2,IF(C6=2,3,IF(C6=3,4,5)))))</f>
        <v>0</v>
      </c>
      <c r="D32" s="46" t="n">
        <f aca="false">IF(Supuestos!$C$8=1,MAX(0,ROUNDUP((D30-D31)/Supuestos!$C$57,0)),IF(D5=1,1,IF(D6=1,2,IF(D6=2,3,IF(D6=3,4,5)))))</f>
        <v>0</v>
      </c>
      <c r="E32" s="46" t="n">
        <f aca="false">IF(Supuestos!$C$8=1,MAX(0,ROUNDUP((E30-E31)/Supuestos!$C$57,0)),IF(E5=1,1,IF(E6=1,2,IF(E6=2,3,IF(E6=3,4,5)))))</f>
        <v>0</v>
      </c>
      <c r="F32" s="46" t="n">
        <f aca="false">IF(Supuestos!$C$8=1,MAX(0,ROUNDUP((F30-F31)/Supuestos!$C$57,0)),IF(F5=1,1,IF(F6=1,2,IF(F6=2,3,IF(F6=3,4,5)))))</f>
        <v>0</v>
      </c>
      <c r="G32" s="46" t="n">
        <f aca="false">IF(Supuestos!$C$8=1,MAX(0,ROUNDUP((G30-G31)/Supuestos!$C$57,0)),IF(G5=1,1,IF(G6=1,2,IF(G6=2,3,IF(G6=3,4,5)))))</f>
        <v>0</v>
      </c>
      <c r="H32" s="46" t="n">
        <f aca="false">IF(Supuestos!$C$8=1,MAX(0,ROUNDUP((H30-H31)/Supuestos!$C$57,0)),IF(H5=1,1,IF(H6=1,2,IF(H6=2,3,IF(H6=3,4,5)))))</f>
        <v>0</v>
      </c>
      <c r="I32" s="46" t="n">
        <f aca="false">IF(Supuestos!$C$8=1,MAX(0,ROUNDUP((I30-I31)/Supuestos!$C$57,0)),IF(I5=1,1,IF(I6=1,2,IF(I6=2,3,IF(I6=3,4,5)))))</f>
        <v>0</v>
      </c>
      <c r="J32" s="46" t="n">
        <f aca="false">IF(Supuestos!$C$8=1,MAX(0,ROUNDUP((J30-J31)/Supuestos!$C$57,0)),IF(J5=1,1,IF(J6=1,2,IF(J6=2,3,IF(J6=3,4,5)))))</f>
        <v>0</v>
      </c>
      <c r="K32" s="46" t="n">
        <f aca="false">IF(Supuestos!$C$8=1,MAX(0,ROUNDUP((K30-K31)/Supuestos!$C$57,0)),IF(K5=1,1,IF(K6=1,2,IF(K6=2,3,IF(K6=3,4,5)))))</f>
        <v>0</v>
      </c>
      <c r="L32" s="46" t="n">
        <f aca="false">IF(Supuestos!$C$8=1,MAX(0,ROUNDUP((L30-L31)/Supuestos!$C$57,0)),IF(L5=1,1,IF(L6=1,2,IF(L6=2,3,IF(L6=3,4,5)))))</f>
        <v>0</v>
      </c>
      <c r="M32" s="46" t="n">
        <f aca="false">IF(Supuestos!$C$8=1,MAX(0,ROUNDUP((M30-M31)/Supuestos!$C$57,0)),IF(M5=1,1,IF(M6=1,2,IF(M6=2,3,IF(M6=3,4,5)))))</f>
        <v>0</v>
      </c>
      <c r="N32" s="46" t="n">
        <f aca="false">IF(Supuestos!$C$8=1,MAX(0,ROUNDUP((N30-N31)/Supuestos!$C$57,0)),IF(N5=1,1,IF(N6=1,2,IF(N6=2,3,IF(N6=3,4,5)))))</f>
        <v>0</v>
      </c>
      <c r="O32" s="46" t="n">
        <f aca="false">IF(Supuestos!$C$8=1,MAX(0,ROUNDUP((O30-O31)/Supuestos!$C$57,0)),IF(O5=1,1,IF(O6=1,2,IF(O6=2,3,IF(O6=3,4,5)))))</f>
        <v>0</v>
      </c>
      <c r="P32" s="46" t="n">
        <f aca="false">IF(Supuestos!$C$8=1,MAX(0,ROUNDUP((P30-P31)/Supuestos!$C$57,0)),IF(P5=1,1,IF(P6=1,2,IF(P6=2,3,IF(P6=3,4,5)))))</f>
        <v>0</v>
      </c>
      <c r="Q32" s="46" t="n">
        <f aca="false">IF(Supuestos!$C$8=1,MAX(0,ROUNDUP((Q30-Q31)/Supuestos!$C$57,0)),IF(Q5=1,1,IF(Q6=1,2,IF(Q6=2,3,IF(Q6=3,4,5)))))</f>
        <v>0</v>
      </c>
      <c r="R32" s="46" t="n">
        <f aca="false">IF(Supuestos!$C$8=1,MAX(0,ROUNDUP((R30-R31)/Supuestos!$C$57,0)),IF(R5=1,1,IF(R6=1,2,IF(R6=2,3,IF(R6=3,4,5)))))</f>
        <v>0</v>
      </c>
      <c r="S32" s="46" t="n">
        <f aca="false">IF(Supuestos!$C$8=1,MAX(0,ROUNDUP((S30-S31)/Supuestos!$C$57,0)),IF(S5=1,1,IF(S6=1,2,IF(S6=2,3,IF(S6=3,4,5)))))</f>
        <v>0</v>
      </c>
      <c r="T32" s="46" t="n">
        <f aca="false">IF(Supuestos!$C$8=1,MAX(0,ROUNDUP((T30-T31)/Supuestos!$C$57,0)),IF(T5=1,1,IF(T6=1,2,IF(T6=2,3,IF(T6=3,4,5)))))</f>
        <v>0</v>
      </c>
      <c r="U32" s="46" t="n">
        <f aca="false">IF(Supuestos!$C$8=1,MAX(0,ROUNDUP((U30-U31)/Supuestos!$C$57,0)),IF(U5=1,1,IF(U6=1,2,IF(U6=2,3,IF(U6=3,4,5)))))</f>
        <v>0</v>
      </c>
      <c r="V32" s="46" t="n">
        <f aca="false">IF(Supuestos!$C$8=1,MAX(0,ROUNDUP((V30-V31)/Supuestos!$C$57,0)),IF(V5=1,1,IF(V6=1,2,IF(V6=2,3,IF(V6=3,4,5)))))</f>
        <v>0</v>
      </c>
      <c r="W32" s="46" t="n">
        <f aca="false">IF(Supuestos!$C$8=1,MAX(0,ROUNDUP((W30-W31)/Supuestos!$C$57,0)),IF(W5=1,1,IF(W6=1,2,IF(W6=2,3,IF(W6=3,4,5)))))</f>
        <v>0</v>
      </c>
      <c r="X32" s="46" t="n">
        <f aca="false">IF(Supuestos!$C$8=1,MAX(0,ROUNDUP((X30-X31)/Supuestos!$C$57,0)),IF(X5=1,1,IF(X6=1,2,IF(X6=2,3,IF(X6=3,4,5)))))</f>
        <v>0</v>
      </c>
      <c r="Y32" s="46" t="n">
        <f aca="false">IF(Supuestos!$C$8=1,MAX(0,ROUNDUP((Y30-Y31)/Supuestos!$C$57,0)),IF(Y5=1,1,IF(Y6=1,2,IF(Y6=2,3,IF(Y6=3,4,5)))))</f>
        <v>0</v>
      </c>
      <c r="Z32" s="46" t="n">
        <f aca="false">IF(Supuestos!$C$8=1,MAX(0,ROUNDUP((Z30-Z31)/Supuestos!$C$57,0)),IF(Z5=1,1,IF(Z6=1,2,IF(Z6=2,3,IF(Z6=3,4,5)))))</f>
        <v>0</v>
      </c>
      <c r="AA32" s="46" t="n">
        <f aca="false">IF(Supuestos!$C$8=1,MAX(0,ROUNDUP((AA30-AA31)/Supuestos!$C$57,0)),IF(AA5=1,1,IF(AA6=1,2,IF(AA6=2,3,IF(AA6=3,4,5)))))</f>
        <v>0</v>
      </c>
      <c r="AB32" s="46" t="n">
        <f aca="false">IF(Supuestos!$C$8=1,MAX(0,ROUNDUP((AB30-AB31)/Supuestos!$C$57,0)),IF(AB5=1,1,IF(AB6=1,2,IF(AB6=2,3,IF(AB6=3,4,5)))))</f>
        <v>0</v>
      </c>
      <c r="AC32" s="46" t="n">
        <f aca="false">IF(Supuestos!$C$8=1,MAX(0,ROUNDUP((AC30-AC31)/Supuestos!$C$57,0)),IF(AC5=1,1,IF(AC6=1,2,IF(AC6=2,3,IF(AC6=3,4,5)))))</f>
        <v>0</v>
      </c>
      <c r="AD32" s="46" t="n">
        <f aca="false">IF(Supuestos!$C$8=1,MAX(0,ROUNDUP((AD30-AD31)/Supuestos!$C$57,0)),IF(AD5=1,1,IF(AD6=1,2,IF(AD6=2,3,IF(AD6=3,4,5)))))</f>
        <v>0</v>
      </c>
      <c r="AE32" s="46" t="n">
        <f aca="false">IF(Supuestos!$C$8=1,MAX(0,ROUNDUP((AE30-AE31)/Supuestos!$C$57,0)),IF(AE5=1,1,IF(AE6=1,2,IF(AE6=2,3,IF(AE6=3,4,5)))))</f>
        <v>0</v>
      </c>
      <c r="AF32" s="46" t="n">
        <f aca="false">IF(Supuestos!$C$8=1,MAX(0,ROUNDUP((AF30-AF31)/Supuestos!$C$57,0)),IF(AF5=1,1,IF(AF6=1,2,IF(AF6=2,3,IF(AF6=3,4,5)))))</f>
        <v>0</v>
      </c>
      <c r="AG32" s="46" t="n">
        <f aca="false">IF(Supuestos!$C$8=1,MAX(0,ROUNDUP((AG30-AG31)/Supuestos!$C$57,0)),IF(AG5=1,1,IF(AG6=1,2,IF(AG6=2,3,IF(AG6=3,4,5)))))</f>
        <v>1</v>
      </c>
      <c r="AH32" s="46" t="n">
        <f aca="false">IF(Supuestos!$C$8=1,MAX(0,ROUNDUP((AH30-AH31)/Supuestos!$C$57,0)),IF(AH5=1,1,IF(AH6=1,2,IF(AH6=2,3,IF(AH6=3,4,5)))))</f>
        <v>1</v>
      </c>
      <c r="AI32" s="46" t="n">
        <f aca="false">IF(Supuestos!$C$8=1,MAX(0,ROUNDUP((AI30-AI31)/Supuestos!$C$57,0)),IF(AI5=1,1,IF(AI6=1,2,IF(AI6=2,3,IF(AI6=3,4,5)))))</f>
        <v>1</v>
      </c>
      <c r="AJ32" s="46" t="n">
        <f aca="false">IF(Supuestos!$C$8=1,MAX(0,ROUNDUP((AJ30-AJ31)/Supuestos!$C$57,0)),IF(AJ5=1,1,IF(AJ6=1,2,IF(AJ6=2,3,IF(AJ6=3,4,5)))))</f>
        <v>1</v>
      </c>
      <c r="AK32" s="46" t="n">
        <f aca="false">IF(Supuestos!$C$8=1,MAX(0,ROUNDUP((AK30-AK31)/Supuestos!$C$57,0)),IF(AK5=1,1,IF(AK6=1,2,IF(AK6=2,3,IF(AK6=3,4,5)))))</f>
        <v>1</v>
      </c>
      <c r="AL32" s="46" t="n">
        <f aca="false">IF(Supuestos!$C$8=1,MAX(0,ROUNDUP((AL30-AL31)/Supuestos!$C$57,0)),IF(AL5=1,1,IF(AL6=1,2,IF(AL6=2,3,IF(AL6=3,4,5)))))</f>
        <v>1</v>
      </c>
      <c r="AM32" s="46" t="n">
        <f aca="false">IF(Supuestos!$C$8=1,MAX(0,ROUNDUP((AM30-AM31)/Supuestos!$C$57,0)),IF(AM5=1,1,IF(AM6=1,2,IF(AM6=2,3,IF(AM6=3,4,5)))))</f>
        <v>1</v>
      </c>
      <c r="AN32" s="46" t="n">
        <f aca="false">IF(Supuestos!$C$8=1,MAX(0,ROUNDUP((AN30-AN31)/Supuestos!$C$57,0)),IF(AN5=1,1,IF(AN6=1,2,IF(AN6=2,3,IF(AN6=3,4,5)))))</f>
        <v>1</v>
      </c>
      <c r="AO32" s="46" t="n">
        <f aca="false">IF(Supuestos!$C$8=1,MAX(0,ROUNDUP((AO30-AO31)/Supuestos!$C$57,0)),IF(AO5=1,1,IF(AO6=1,2,IF(AO6=2,3,IF(AO6=3,4,5)))))</f>
        <v>1</v>
      </c>
      <c r="AP32" s="46" t="n">
        <f aca="false">IF(Supuestos!$C$8=1,MAX(0,ROUNDUP((AP30-AP31)/Supuestos!$C$57,0)),IF(AP5=1,1,IF(AP6=1,2,IF(AP6=2,3,IF(AP6=3,4,5)))))</f>
        <v>1</v>
      </c>
      <c r="AQ32" s="46" t="n">
        <f aca="false">IF(Supuestos!$C$8=1,MAX(0,ROUNDUP((AQ30-AQ31)/Supuestos!$C$57,0)),IF(AQ5=1,1,IF(AQ6=1,2,IF(AQ6=2,3,IF(AQ6=3,4,5)))))</f>
        <v>1</v>
      </c>
      <c r="AR32" s="46" t="n">
        <f aca="false">IF(Supuestos!$C$8=1,MAX(0,ROUNDUP((AR30-AR31)/Supuestos!$C$57,0)),IF(AR5=1,1,IF(AR6=1,2,IF(AR6=2,3,IF(AR6=3,4,5)))))</f>
        <v>1</v>
      </c>
      <c r="AS32" s="46" t="n">
        <f aca="false">IF(Supuestos!$C$8=1,MAX(0,ROUNDUP((AS30-AS31)/Supuestos!$C$57,0)),IF(AS5=1,1,IF(AS6=1,2,IF(AS6=2,3,IF(AS6=3,4,5)))))</f>
        <v>2</v>
      </c>
      <c r="AT32" s="46" t="n">
        <f aca="false">IF(Supuestos!$C$8=1,MAX(0,ROUNDUP((AT30-AT31)/Supuestos!$C$57,0)),IF(AT5=1,1,IF(AT6=1,2,IF(AT6=2,3,IF(AT6=3,4,5)))))</f>
        <v>2</v>
      </c>
      <c r="AU32" s="46" t="n">
        <f aca="false">IF(Supuestos!$C$8=1,MAX(0,ROUNDUP((AU30-AU31)/Supuestos!$C$57,0)),IF(AU5=1,1,IF(AU6=1,2,IF(AU6=2,3,IF(AU6=3,4,5)))))</f>
        <v>2</v>
      </c>
      <c r="AV32" s="46" t="n">
        <f aca="false">IF(Supuestos!$C$8=1,MAX(0,ROUNDUP((AV30-AV31)/Supuestos!$C$57,0)),IF(AV5=1,1,IF(AV6=1,2,IF(AV6=2,3,IF(AV6=3,4,5)))))</f>
        <v>2</v>
      </c>
      <c r="AW32" s="46" t="n">
        <f aca="false">IF(Supuestos!$C$8=1,MAX(0,ROUNDUP((AW30-AW31)/Supuestos!$C$57,0)),IF(AW5=1,1,IF(AW6=1,2,IF(AW6=2,3,IF(AW6=3,4,5)))))</f>
        <v>2</v>
      </c>
      <c r="AX32" s="46" t="n">
        <f aca="false">IF(Supuestos!$C$8=1,MAX(0,ROUNDUP((AX30-AX31)/Supuestos!$C$57,0)),IF(AX5=1,1,IF(AX6=1,2,IF(AX6=2,3,IF(AX6=3,4,5)))))</f>
        <v>2</v>
      </c>
      <c r="AY32" s="46" t="n">
        <f aca="false">IF(Supuestos!$C$8=1,MAX(0,ROUNDUP((AY30-AY31)/Supuestos!$C$57,0)),IF(AY5=1,1,IF(AY6=1,2,IF(AY6=2,3,IF(AY6=3,4,5)))))</f>
        <v>2</v>
      </c>
      <c r="AZ32" s="46" t="n">
        <f aca="false">IF(Supuestos!$C$8=1,MAX(0,ROUNDUP((AZ30-AZ31)/Supuestos!$C$57,0)),IF(AZ5=1,1,IF(AZ6=1,2,IF(AZ6=2,3,IF(AZ6=3,4,5)))))</f>
        <v>2</v>
      </c>
      <c r="BA32" s="46" t="n">
        <f aca="false">IF(Supuestos!$C$8=1,MAX(0,ROUNDUP((BA30-BA31)/Supuestos!$C$57,0)),IF(BA5=1,1,IF(BA6=1,2,IF(BA6=2,3,IF(BA6=3,4,5)))))</f>
        <v>2</v>
      </c>
      <c r="BB32" s="46" t="n">
        <f aca="false">IF(Supuestos!$C$8=1,MAX(0,ROUNDUP((BB30-BB31)/Supuestos!$C$57,0)),IF(BB5=1,1,IF(BB6=1,2,IF(BB6=2,3,IF(BB6=3,4,5)))))</f>
        <v>2</v>
      </c>
      <c r="BC32" s="46" t="n">
        <f aca="false">IF(Supuestos!$C$8=1,MAX(0,ROUNDUP((BC30-BC31)/Supuestos!$C$57,0)),IF(BC5=1,1,IF(BC6=1,2,IF(BC6=2,3,IF(BC6=3,4,5)))))</f>
        <v>2</v>
      </c>
      <c r="BD32" s="46" t="n">
        <f aca="false">IF(Supuestos!$C$8=1,MAX(0,ROUNDUP((BD30-BD31)/Supuestos!$C$57,0)),IF(BD5=1,1,IF(BD6=1,2,IF(BD6=2,3,IF(BD6=3,4,5)))))</f>
        <v>3</v>
      </c>
      <c r="BE32" s="46" t="n">
        <f aca="false">IF(Supuestos!$C$8=1,MAX(0,ROUNDUP((BE30-BE31)/Supuestos!$C$57,0)),IF(BE5=1,1,IF(BE6=1,2,IF(BE6=2,3,IF(BE6=3,4,5)))))</f>
        <v>3</v>
      </c>
      <c r="BF32" s="46" t="n">
        <f aca="false">IF(Supuestos!$C$8=1,MAX(0,ROUNDUP((BF30-BF31)/Supuestos!$C$57,0)),IF(BF5=1,1,IF(BF6=1,2,IF(BF6=2,3,IF(BF6=3,4,5)))))</f>
        <v>3</v>
      </c>
      <c r="BG32" s="46" t="n">
        <f aca="false">IF(Supuestos!$C$8=1,MAX(0,ROUNDUP((BG30-BG31)/Supuestos!$C$57,0)),IF(BG5=1,1,IF(BG6=1,2,IF(BG6=2,3,IF(BG6=3,4,5)))))</f>
        <v>3</v>
      </c>
      <c r="BH32" s="46" t="n">
        <f aca="false">IF(Supuestos!$C$8=1,MAX(0,ROUNDUP((BH30-BH31)/Supuestos!$C$57,0)),IF(BH5=1,1,IF(BH6=1,2,IF(BH6=2,3,IF(BH6=3,4,5)))))</f>
        <v>3</v>
      </c>
      <c r="BI32" s="46" t="n">
        <f aca="false">IF(Supuestos!$C$8=1,MAX(0,ROUNDUP((BI30-BI31)/Supuestos!$C$57,0)),IF(BI5=1,1,IF(BI6=1,2,IF(BI6=2,3,IF(BI6=3,4,5)))))</f>
        <v>3</v>
      </c>
      <c r="BJ32" s="46" t="n">
        <f aca="false">IF(Supuestos!$C$8=1,MAX(0,ROUNDUP((BJ30-BJ31)/Supuestos!$C$57,0)),IF(BJ5=1,1,IF(BJ6=1,2,IF(BJ6=2,3,IF(BJ6=3,4,5)))))</f>
        <v>3</v>
      </c>
    </row>
    <row r="33" customFormat="false" ht="15" hidden="false" customHeight="true" outlineLevel="0" collapsed="false">
      <c r="A33" s="10" t="s">
        <v>259</v>
      </c>
      <c r="B33" s="7" t="s">
        <v>146</v>
      </c>
      <c r="C33" s="43" t="n">
        <f aca="false">Supuestos!$C$50*(1+Supuestos!$C$39)^(C6-1)*(1+Supuestos!$C$48)+IF(Supuestos!$C$50*(1+Supuestos!$C$39)^(C6-1)&lt;=2*Supuestos!$C$37*(1+Supuestos!$C$39)^(C6-1),Supuestos!$C$38*(1+Supuestos!$C$39)^(C6-1)*(1+Supuestos!$C$49),0)</f>
        <v>3060125.177</v>
      </c>
      <c r="D33" s="43" t="n">
        <f aca="false">Supuestos!$C$50*(1+Supuestos!$C$39)^(D6-1)*(1+Supuestos!$C$48)+IF(Supuestos!$C$50*(1+Supuestos!$C$39)^(D6-1)&lt;=2*Supuestos!$C$37*(1+Supuestos!$C$39)^(D6-1),Supuestos!$C$38*(1+Supuestos!$C$39)^(D6-1)*(1+Supuestos!$C$49),0)</f>
        <v>3060125.177</v>
      </c>
      <c r="E33" s="43" t="n">
        <f aca="false">Supuestos!$C$50*(1+Supuestos!$C$39)^(E6-1)*(1+Supuestos!$C$48)+IF(Supuestos!$C$50*(1+Supuestos!$C$39)^(E6-1)&lt;=2*Supuestos!$C$37*(1+Supuestos!$C$39)^(E6-1),Supuestos!$C$38*(1+Supuestos!$C$39)^(E6-1)*(1+Supuestos!$C$49),0)</f>
        <v>3060125.177</v>
      </c>
      <c r="F33" s="43" t="n">
        <f aca="false">Supuestos!$C$50*(1+Supuestos!$C$39)^(F6-1)*(1+Supuestos!$C$48)+IF(Supuestos!$C$50*(1+Supuestos!$C$39)^(F6-1)&lt;=2*Supuestos!$C$37*(1+Supuestos!$C$39)^(F6-1),Supuestos!$C$38*(1+Supuestos!$C$39)^(F6-1)*(1+Supuestos!$C$49),0)</f>
        <v>3060125.177</v>
      </c>
      <c r="G33" s="43" t="n">
        <f aca="false">Supuestos!$C$50*(1+Supuestos!$C$39)^(G6-1)*(1+Supuestos!$C$48)+IF(Supuestos!$C$50*(1+Supuestos!$C$39)^(G6-1)&lt;=2*Supuestos!$C$37*(1+Supuestos!$C$39)^(G6-1),Supuestos!$C$38*(1+Supuestos!$C$39)^(G6-1)*(1+Supuestos!$C$49),0)</f>
        <v>3060125.177</v>
      </c>
      <c r="H33" s="43" t="n">
        <f aca="false">Supuestos!$C$50*(1+Supuestos!$C$39)^(H6-1)*(1+Supuestos!$C$48)+IF(Supuestos!$C$50*(1+Supuestos!$C$39)^(H6-1)&lt;=2*Supuestos!$C$37*(1+Supuestos!$C$39)^(H6-1),Supuestos!$C$38*(1+Supuestos!$C$39)^(H6-1)*(1+Supuestos!$C$49),0)</f>
        <v>3060125.177</v>
      </c>
      <c r="I33" s="43" t="n">
        <f aca="false">Supuestos!$C$50*(1+Supuestos!$C$39)^(I6-1)*(1+Supuestos!$C$48)+IF(Supuestos!$C$50*(1+Supuestos!$C$39)^(I6-1)&lt;=2*Supuestos!$C$37*(1+Supuestos!$C$39)^(I6-1),Supuestos!$C$38*(1+Supuestos!$C$39)^(I6-1)*(1+Supuestos!$C$49),0)</f>
        <v>3060125.177</v>
      </c>
      <c r="J33" s="43" t="n">
        <f aca="false">Supuestos!$C$50*(1+Supuestos!$C$39)^(J6-1)*(1+Supuestos!$C$48)+IF(Supuestos!$C$50*(1+Supuestos!$C$39)^(J6-1)&lt;=2*Supuestos!$C$37*(1+Supuestos!$C$39)^(J6-1),Supuestos!$C$38*(1+Supuestos!$C$39)^(J6-1)*(1+Supuestos!$C$49),0)</f>
        <v>3060125.177</v>
      </c>
      <c r="K33" s="43" t="n">
        <f aca="false">Supuestos!$C$50*(1+Supuestos!$C$39)^(K6-1)*(1+Supuestos!$C$48)+IF(Supuestos!$C$50*(1+Supuestos!$C$39)^(K6-1)&lt;=2*Supuestos!$C$37*(1+Supuestos!$C$39)^(K6-1),Supuestos!$C$38*(1+Supuestos!$C$39)^(K6-1)*(1+Supuestos!$C$49),0)</f>
        <v>3060125.177</v>
      </c>
      <c r="L33" s="43" t="n">
        <f aca="false">Supuestos!$C$50*(1+Supuestos!$C$39)^(L6-1)*(1+Supuestos!$C$48)+IF(Supuestos!$C$50*(1+Supuestos!$C$39)^(L6-1)&lt;=2*Supuestos!$C$37*(1+Supuestos!$C$39)^(L6-1),Supuestos!$C$38*(1+Supuestos!$C$39)^(L6-1)*(1+Supuestos!$C$49),0)</f>
        <v>3060125.177</v>
      </c>
      <c r="M33" s="43" t="n">
        <f aca="false">Supuestos!$C$50*(1+Supuestos!$C$39)^(M6-1)*(1+Supuestos!$C$48)+IF(Supuestos!$C$50*(1+Supuestos!$C$39)^(M6-1)&lt;=2*Supuestos!$C$37*(1+Supuestos!$C$39)^(M6-1),Supuestos!$C$38*(1+Supuestos!$C$39)^(M6-1)*(1+Supuestos!$C$49),0)</f>
        <v>3060125.177</v>
      </c>
      <c r="N33" s="43" t="n">
        <f aca="false">Supuestos!$C$50*(1+Supuestos!$C$39)^(N6-1)*(1+Supuestos!$C$48)+IF(Supuestos!$C$50*(1+Supuestos!$C$39)^(N6-1)&lt;=2*Supuestos!$C$37*(1+Supuestos!$C$39)^(N6-1),Supuestos!$C$38*(1+Supuestos!$C$39)^(N6-1)*(1+Supuestos!$C$49),0)</f>
        <v>3060125.177</v>
      </c>
      <c r="O33" s="43" t="n">
        <f aca="false">Supuestos!$C$50*(1+Supuestos!$C$39)^(O6-1)*(1+Supuestos!$C$48)+IF(Supuestos!$C$50*(1+Supuestos!$C$39)^(O6-1)&lt;=2*Supuestos!$C$37*(1+Supuestos!$C$39)^(O6-1),Supuestos!$C$38*(1+Supuestos!$C$39)^(O6-1)*(1+Supuestos!$C$49),0)</f>
        <v>3213131.43585</v>
      </c>
      <c r="P33" s="43" t="n">
        <f aca="false">Supuestos!$C$50*(1+Supuestos!$C$39)^(P6-1)*(1+Supuestos!$C$48)+IF(Supuestos!$C$50*(1+Supuestos!$C$39)^(P6-1)&lt;=2*Supuestos!$C$37*(1+Supuestos!$C$39)^(P6-1),Supuestos!$C$38*(1+Supuestos!$C$39)^(P6-1)*(1+Supuestos!$C$49),0)</f>
        <v>3213131.43585</v>
      </c>
      <c r="Q33" s="43" t="n">
        <f aca="false">Supuestos!$C$50*(1+Supuestos!$C$39)^(Q6-1)*(1+Supuestos!$C$48)+IF(Supuestos!$C$50*(1+Supuestos!$C$39)^(Q6-1)&lt;=2*Supuestos!$C$37*(1+Supuestos!$C$39)^(Q6-1),Supuestos!$C$38*(1+Supuestos!$C$39)^(Q6-1)*(1+Supuestos!$C$49),0)</f>
        <v>3213131.43585</v>
      </c>
      <c r="R33" s="43" t="n">
        <f aca="false">Supuestos!$C$50*(1+Supuestos!$C$39)^(R6-1)*(1+Supuestos!$C$48)+IF(Supuestos!$C$50*(1+Supuestos!$C$39)^(R6-1)&lt;=2*Supuestos!$C$37*(1+Supuestos!$C$39)^(R6-1),Supuestos!$C$38*(1+Supuestos!$C$39)^(R6-1)*(1+Supuestos!$C$49),0)</f>
        <v>3213131.43585</v>
      </c>
      <c r="S33" s="43" t="n">
        <f aca="false">Supuestos!$C$50*(1+Supuestos!$C$39)^(S6-1)*(1+Supuestos!$C$48)+IF(Supuestos!$C$50*(1+Supuestos!$C$39)^(S6-1)&lt;=2*Supuestos!$C$37*(1+Supuestos!$C$39)^(S6-1),Supuestos!$C$38*(1+Supuestos!$C$39)^(S6-1)*(1+Supuestos!$C$49),0)</f>
        <v>3213131.43585</v>
      </c>
      <c r="T33" s="43" t="n">
        <f aca="false">Supuestos!$C$50*(1+Supuestos!$C$39)^(T6-1)*(1+Supuestos!$C$48)+IF(Supuestos!$C$50*(1+Supuestos!$C$39)^(T6-1)&lt;=2*Supuestos!$C$37*(1+Supuestos!$C$39)^(T6-1),Supuestos!$C$38*(1+Supuestos!$C$39)^(T6-1)*(1+Supuestos!$C$49),0)</f>
        <v>3213131.43585</v>
      </c>
      <c r="U33" s="43" t="n">
        <f aca="false">Supuestos!$C$50*(1+Supuestos!$C$39)^(U6-1)*(1+Supuestos!$C$48)+IF(Supuestos!$C$50*(1+Supuestos!$C$39)^(U6-1)&lt;=2*Supuestos!$C$37*(1+Supuestos!$C$39)^(U6-1),Supuestos!$C$38*(1+Supuestos!$C$39)^(U6-1)*(1+Supuestos!$C$49),0)</f>
        <v>3213131.43585</v>
      </c>
      <c r="V33" s="43" t="n">
        <f aca="false">Supuestos!$C$50*(1+Supuestos!$C$39)^(V6-1)*(1+Supuestos!$C$48)+IF(Supuestos!$C$50*(1+Supuestos!$C$39)^(V6-1)&lt;=2*Supuestos!$C$37*(1+Supuestos!$C$39)^(V6-1),Supuestos!$C$38*(1+Supuestos!$C$39)^(V6-1)*(1+Supuestos!$C$49),0)</f>
        <v>3213131.43585</v>
      </c>
      <c r="W33" s="43" t="n">
        <f aca="false">Supuestos!$C$50*(1+Supuestos!$C$39)^(W6-1)*(1+Supuestos!$C$48)+IF(Supuestos!$C$50*(1+Supuestos!$C$39)^(W6-1)&lt;=2*Supuestos!$C$37*(1+Supuestos!$C$39)^(W6-1),Supuestos!$C$38*(1+Supuestos!$C$39)^(W6-1)*(1+Supuestos!$C$49),0)</f>
        <v>3213131.43585</v>
      </c>
      <c r="X33" s="43" t="n">
        <f aca="false">Supuestos!$C$50*(1+Supuestos!$C$39)^(X6-1)*(1+Supuestos!$C$48)+IF(Supuestos!$C$50*(1+Supuestos!$C$39)^(X6-1)&lt;=2*Supuestos!$C$37*(1+Supuestos!$C$39)^(X6-1),Supuestos!$C$38*(1+Supuestos!$C$39)^(X6-1)*(1+Supuestos!$C$49),0)</f>
        <v>3213131.43585</v>
      </c>
      <c r="Y33" s="43" t="n">
        <f aca="false">Supuestos!$C$50*(1+Supuestos!$C$39)^(Y6-1)*(1+Supuestos!$C$48)+IF(Supuestos!$C$50*(1+Supuestos!$C$39)^(Y6-1)&lt;=2*Supuestos!$C$37*(1+Supuestos!$C$39)^(Y6-1),Supuestos!$C$38*(1+Supuestos!$C$39)^(Y6-1)*(1+Supuestos!$C$49),0)</f>
        <v>3213131.43585</v>
      </c>
      <c r="Z33" s="43" t="n">
        <f aca="false">Supuestos!$C$50*(1+Supuestos!$C$39)^(Z6-1)*(1+Supuestos!$C$48)+IF(Supuestos!$C$50*(1+Supuestos!$C$39)^(Z6-1)&lt;=2*Supuestos!$C$37*(1+Supuestos!$C$39)^(Z6-1),Supuestos!$C$38*(1+Supuestos!$C$39)^(Z6-1)*(1+Supuestos!$C$49),0)</f>
        <v>3213131.43585</v>
      </c>
      <c r="AA33" s="43" t="n">
        <f aca="false">Supuestos!$C$50*(1+Supuestos!$C$39)^(AA6-1)*(1+Supuestos!$C$48)+IF(Supuestos!$C$50*(1+Supuestos!$C$39)^(AA6-1)&lt;=2*Supuestos!$C$37*(1+Supuestos!$C$39)^(AA6-1),Supuestos!$C$38*(1+Supuestos!$C$39)^(AA6-1)*(1+Supuestos!$C$49),0)</f>
        <v>3373788.0076425</v>
      </c>
      <c r="AB33" s="43" t="n">
        <f aca="false">Supuestos!$C$50*(1+Supuestos!$C$39)^(AB6-1)*(1+Supuestos!$C$48)+IF(Supuestos!$C$50*(1+Supuestos!$C$39)^(AB6-1)&lt;=2*Supuestos!$C$37*(1+Supuestos!$C$39)^(AB6-1),Supuestos!$C$38*(1+Supuestos!$C$39)^(AB6-1)*(1+Supuestos!$C$49),0)</f>
        <v>3373788.0076425</v>
      </c>
      <c r="AC33" s="43" t="n">
        <f aca="false">Supuestos!$C$50*(1+Supuestos!$C$39)^(AC6-1)*(1+Supuestos!$C$48)+IF(Supuestos!$C$50*(1+Supuestos!$C$39)^(AC6-1)&lt;=2*Supuestos!$C$37*(1+Supuestos!$C$39)^(AC6-1),Supuestos!$C$38*(1+Supuestos!$C$39)^(AC6-1)*(1+Supuestos!$C$49),0)</f>
        <v>3373788.0076425</v>
      </c>
      <c r="AD33" s="43" t="n">
        <f aca="false">Supuestos!$C$50*(1+Supuestos!$C$39)^(AD6-1)*(1+Supuestos!$C$48)+IF(Supuestos!$C$50*(1+Supuestos!$C$39)^(AD6-1)&lt;=2*Supuestos!$C$37*(1+Supuestos!$C$39)^(AD6-1),Supuestos!$C$38*(1+Supuestos!$C$39)^(AD6-1)*(1+Supuestos!$C$49),0)</f>
        <v>3373788.0076425</v>
      </c>
      <c r="AE33" s="43" t="n">
        <f aca="false">Supuestos!$C$50*(1+Supuestos!$C$39)^(AE6-1)*(1+Supuestos!$C$48)+IF(Supuestos!$C$50*(1+Supuestos!$C$39)^(AE6-1)&lt;=2*Supuestos!$C$37*(1+Supuestos!$C$39)^(AE6-1),Supuestos!$C$38*(1+Supuestos!$C$39)^(AE6-1)*(1+Supuestos!$C$49),0)</f>
        <v>3373788.0076425</v>
      </c>
      <c r="AF33" s="43" t="n">
        <f aca="false">Supuestos!$C$50*(1+Supuestos!$C$39)^(AF6-1)*(1+Supuestos!$C$48)+IF(Supuestos!$C$50*(1+Supuestos!$C$39)^(AF6-1)&lt;=2*Supuestos!$C$37*(1+Supuestos!$C$39)^(AF6-1),Supuestos!$C$38*(1+Supuestos!$C$39)^(AF6-1)*(1+Supuestos!$C$49),0)</f>
        <v>3373788.0076425</v>
      </c>
      <c r="AG33" s="43" t="n">
        <f aca="false">Supuestos!$C$50*(1+Supuestos!$C$39)^(AG6-1)*(1+Supuestos!$C$48)+IF(Supuestos!$C$50*(1+Supuestos!$C$39)^(AG6-1)&lt;=2*Supuestos!$C$37*(1+Supuestos!$C$39)^(AG6-1),Supuestos!$C$38*(1+Supuestos!$C$39)^(AG6-1)*(1+Supuestos!$C$49),0)</f>
        <v>3373788.0076425</v>
      </c>
      <c r="AH33" s="43" t="n">
        <f aca="false">Supuestos!$C$50*(1+Supuestos!$C$39)^(AH6-1)*(1+Supuestos!$C$48)+IF(Supuestos!$C$50*(1+Supuestos!$C$39)^(AH6-1)&lt;=2*Supuestos!$C$37*(1+Supuestos!$C$39)^(AH6-1),Supuestos!$C$38*(1+Supuestos!$C$39)^(AH6-1)*(1+Supuestos!$C$49),0)</f>
        <v>3373788.0076425</v>
      </c>
      <c r="AI33" s="43" t="n">
        <f aca="false">Supuestos!$C$50*(1+Supuestos!$C$39)^(AI6-1)*(1+Supuestos!$C$48)+IF(Supuestos!$C$50*(1+Supuestos!$C$39)^(AI6-1)&lt;=2*Supuestos!$C$37*(1+Supuestos!$C$39)^(AI6-1),Supuestos!$C$38*(1+Supuestos!$C$39)^(AI6-1)*(1+Supuestos!$C$49),0)</f>
        <v>3373788.0076425</v>
      </c>
      <c r="AJ33" s="43" t="n">
        <f aca="false">Supuestos!$C$50*(1+Supuestos!$C$39)^(AJ6-1)*(1+Supuestos!$C$48)+IF(Supuestos!$C$50*(1+Supuestos!$C$39)^(AJ6-1)&lt;=2*Supuestos!$C$37*(1+Supuestos!$C$39)^(AJ6-1),Supuestos!$C$38*(1+Supuestos!$C$39)^(AJ6-1)*(1+Supuestos!$C$49),0)</f>
        <v>3373788.0076425</v>
      </c>
      <c r="AK33" s="43" t="n">
        <f aca="false">Supuestos!$C$50*(1+Supuestos!$C$39)^(AK6-1)*(1+Supuestos!$C$48)+IF(Supuestos!$C$50*(1+Supuestos!$C$39)^(AK6-1)&lt;=2*Supuestos!$C$37*(1+Supuestos!$C$39)^(AK6-1),Supuestos!$C$38*(1+Supuestos!$C$39)^(AK6-1)*(1+Supuestos!$C$49),0)</f>
        <v>3373788.0076425</v>
      </c>
      <c r="AL33" s="43" t="n">
        <f aca="false">Supuestos!$C$50*(1+Supuestos!$C$39)^(AL6-1)*(1+Supuestos!$C$48)+IF(Supuestos!$C$50*(1+Supuestos!$C$39)^(AL6-1)&lt;=2*Supuestos!$C$37*(1+Supuestos!$C$39)^(AL6-1),Supuestos!$C$38*(1+Supuestos!$C$39)^(AL6-1)*(1+Supuestos!$C$49),0)</f>
        <v>3373788.0076425</v>
      </c>
      <c r="AM33" s="43" t="n">
        <f aca="false">Supuestos!$C$50*(1+Supuestos!$C$39)^(AM6-1)*(1+Supuestos!$C$48)+IF(Supuestos!$C$50*(1+Supuestos!$C$39)^(AM6-1)&lt;=2*Supuestos!$C$37*(1+Supuestos!$C$39)^(AM6-1),Supuestos!$C$38*(1+Supuestos!$C$39)^(AM6-1)*(1+Supuestos!$C$49),0)</f>
        <v>3542477.40802463</v>
      </c>
      <c r="AN33" s="43" t="n">
        <f aca="false">Supuestos!$C$50*(1+Supuestos!$C$39)^(AN6-1)*(1+Supuestos!$C$48)+IF(Supuestos!$C$50*(1+Supuestos!$C$39)^(AN6-1)&lt;=2*Supuestos!$C$37*(1+Supuestos!$C$39)^(AN6-1),Supuestos!$C$38*(1+Supuestos!$C$39)^(AN6-1)*(1+Supuestos!$C$49),0)</f>
        <v>3542477.40802463</v>
      </c>
      <c r="AO33" s="43" t="n">
        <f aca="false">Supuestos!$C$50*(1+Supuestos!$C$39)^(AO6-1)*(1+Supuestos!$C$48)+IF(Supuestos!$C$50*(1+Supuestos!$C$39)^(AO6-1)&lt;=2*Supuestos!$C$37*(1+Supuestos!$C$39)^(AO6-1),Supuestos!$C$38*(1+Supuestos!$C$39)^(AO6-1)*(1+Supuestos!$C$49),0)</f>
        <v>3542477.40802463</v>
      </c>
      <c r="AP33" s="43" t="n">
        <f aca="false">Supuestos!$C$50*(1+Supuestos!$C$39)^(AP6-1)*(1+Supuestos!$C$48)+IF(Supuestos!$C$50*(1+Supuestos!$C$39)^(AP6-1)&lt;=2*Supuestos!$C$37*(1+Supuestos!$C$39)^(AP6-1),Supuestos!$C$38*(1+Supuestos!$C$39)^(AP6-1)*(1+Supuestos!$C$49),0)</f>
        <v>3542477.40802463</v>
      </c>
      <c r="AQ33" s="43" t="n">
        <f aca="false">Supuestos!$C$50*(1+Supuestos!$C$39)^(AQ6-1)*(1+Supuestos!$C$48)+IF(Supuestos!$C$50*(1+Supuestos!$C$39)^(AQ6-1)&lt;=2*Supuestos!$C$37*(1+Supuestos!$C$39)^(AQ6-1),Supuestos!$C$38*(1+Supuestos!$C$39)^(AQ6-1)*(1+Supuestos!$C$49),0)</f>
        <v>3542477.40802463</v>
      </c>
      <c r="AR33" s="43" t="n">
        <f aca="false">Supuestos!$C$50*(1+Supuestos!$C$39)^(AR6-1)*(1+Supuestos!$C$48)+IF(Supuestos!$C$50*(1+Supuestos!$C$39)^(AR6-1)&lt;=2*Supuestos!$C$37*(1+Supuestos!$C$39)^(AR6-1),Supuestos!$C$38*(1+Supuestos!$C$39)^(AR6-1)*(1+Supuestos!$C$49),0)</f>
        <v>3542477.40802463</v>
      </c>
      <c r="AS33" s="43" t="n">
        <f aca="false">Supuestos!$C$50*(1+Supuestos!$C$39)^(AS6-1)*(1+Supuestos!$C$48)+IF(Supuestos!$C$50*(1+Supuestos!$C$39)^(AS6-1)&lt;=2*Supuestos!$C$37*(1+Supuestos!$C$39)^(AS6-1),Supuestos!$C$38*(1+Supuestos!$C$39)^(AS6-1)*(1+Supuestos!$C$49),0)</f>
        <v>3542477.40802463</v>
      </c>
      <c r="AT33" s="43" t="n">
        <f aca="false">Supuestos!$C$50*(1+Supuestos!$C$39)^(AT6-1)*(1+Supuestos!$C$48)+IF(Supuestos!$C$50*(1+Supuestos!$C$39)^(AT6-1)&lt;=2*Supuestos!$C$37*(1+Supuestos!$C$39)^(AT6-1),Supuestos!$C$38*(1+Supuestos!$C$39)^(AT6-1)*(1+Supuestos!$C$49),0)</f>
        <v>3542477.40802463</v>
      </c>
      <c r="AU33" s="43" t="n">
        <f aca="false">Supuestos!$C$50*(1+Supuestos!$C$39)^(AU6-1)*(1+Supuestos!$C$48)+IF(Supuestos!$C$50*(1+Supuestos!$C$39)^(AU6-1)&lt;=2*Supuestos!$C$37*(1+Supuestos!$C$39)^(AU6-1),Supuestos!$C$38*(1+Supuestos!$C$39)^(AU6-1)*(1+Supuestos!$C$49),0)</f>
        <v>3542477.40802463</v>
      </c>
      <c r="AV33" s="43" t="n">
        <f aca="false">Supuestos!$C$50*(1+Supuestos!$C$39)^(AV6-1)*(1+Supuestos!$C$48)+IF(Supuestos!$C$50*(1+Supuestos!$C$39)^(AV6-1)&lt;=2*Supuestos!$C$37*(1+Supuestos!$C$39)^(AV6-1),Supuestos!$C$38*(1+Supuestos!$C$39)^(AV6-1)*(1+Supuestos!$C$49),0)</f>
        <v>3542477.40802463</v>
      </c>
      <c r="AW33" s="43" t="n">
        <f aca="false">Supuestos!$C$50*(1+Supuestos!$C$39)^(AW6-1)*(1+Supuestos!$C$48)+IF(Supuestos!$C$50*(1+Supuestos!$C$39)^(AW6-1)&lt;=2*Supuestos!$C$37*(1+Supuestos!$C$39)^(AW6-1),Supuestos!$C$38*(1+Supuestos!$C$39)^(AW6-1)*(1+Supuestos!$C$49),0)</f>
        <v>3542477.40802463</v>
      </c>
      <c r="AX33" s="43" t="n">
        <f aca="false">Supuestos!$C$50*(1+Supuestos!$C$39)^(AX6-1)*(1+Supuestos!$C$48)+IF(Supuestos!$C$50*(1+Supuestos!$C$39)^(AX6-1)&lt;=2*Supuestos!$C$37*(1+Supuestos!$C$39)^(AX6-1),Supuestos!$C$38*(1+Supuestos!$C$39)^(AX6-1)*(1+Supuestos!$C$49),0)</f>
        <v>3542477.40802463</v>
      </c>
      <c r="AY33" s="43" t="n">
        <f aca="false">Supuestos!$C$50*(1+Supuestos!$C$39)^(AY6-1)*(1+Supuestos!$C$48)+IF(Supuestos!$C$50*(1+Supuestos!$C$39)^(AY6-1)&lt;=2*Supuestos!$C$37*(1+Supuestos!$C$39)^(AY6-1),Supuestos!$C$38*(1+Supuestos!$C$39)^(AY6-1)*(1+Supuestos!$C$49),0)</f>
        <v>3719601.27842586</v>
      </c>
      <c r="AZ33" s="43" t="n">
        <f aca="false">Supuestos!$C$50*(1+Supuestos!$C$39)^(AZ6-1)*(1+Supuestos!$C$48)+IF(Supuestos!$C$50*(1+Supuestos!$C$39)^(AZ6-1)&lt;=2*Supuestos!$C$37*(1+Supuestos!$C$39)^(AZ6-1),Supuestos!$C$38*(1+Supuestos!$C$39)^(AZ6-1)*(1+Supuestos!$C$49),0)</f>
        <v>3719601.27842586</v>
      </c>
      <c r="BA33" s="43" t="n">
        <f aca="false">Supuestos!$C$50*(1+Supuestos!$C$39)^(BA6-1)*(1+Supuestos!$C$48)+IF(Supuestos!$C$50*(1+Supuestos!$C$39)^(BA6-1)&lt;=2*Supuestos!$C$37*(1+Supuestos!$C$39)^(BA6-1),Supuestos!$C$38*(1+Supuestos!$C$39)^(BA6-1)*(1+Supuestos!$C$49),0)</f>
        <v>3719601.27842586</v>
      </c>
      <c r="BB33" s="43" t="n">
        <f aca="false">Supuestos!$C$50*(1+Supuestos!$C$39)^(BB6-1)*(1+Supuestos!$C$48)+IF(Supuestos!$C$50*(1+Supuestos!$C$39)^(BB6-1)&lt;=2*Supuestos!$C$37*(1+Supuestos!$C$39)^(BB6-1),Supuestos!$C$38*(1+Supuestos!$C$39)^(BB6-1)*(1+Supuestos!$C$49),0)</f>
        <v>3719601.27842586</v>
      </c>
      <c r="BC33" s="43" t="n">
        <f aca="false">Supuestos!$C$50*(1+Supuestos!$C$39)^(BC6-1)*(1+Supuestos!$C$48)+IF(Supuestos!$C$50*(1+Supuestos!$C$39)^(BC6-1)&lt;=2*Supuestos!$C$37*(1+Supuestos!$C$39)^(BC6-1),Supuestos!$C$38*(1+Supuestos!$C$39)^(BC6-1)*(1+Supuestos!$C$49),0)</f>
        <v>3719601.27842586</v>
      </c>
      <c r="BD33" s="43" t="n">
        <f aca="false">Supuestos!$C$50*(1+Supuestos!$C$39)^(BD6-1)*(1+Supuestos!$C$48)+IF(Supuestos!$C$50*(1+Supuestos!$C$39)^(BD6-1)&lt;=2*Supuestos!$C$37*(1+Supuestos!$C$39)^(BD6-1),Supuestos!$C$38*(1+Supuestos!$C$39)^(BD6-1)*(1+Supuestos!$C$49),0)</f>
        <v>3719601.27842586</v>
      </c>
      <c r="BE33" s="43" t="n">
        <f aca="false">Supuestos!$C$50*(1+Supuestos!$C$39)^(BE6-1)*(1+Supuestos!$C$48)+IF(Supuestos!$C$50*(1+Supuestos!$C$39)^(BE6-1)&lt;=2*Supuestos!$C$37*(1+Supuestos!$C$39)^(BE6-1),Supuestos!$C$38*(1+Supuestos!$C$39)^(BE6-1)*(1+Supuestos!$C$49),0)</f>
        <v>3719601.27842586</v>
      </c>
      <c r="BF33" s="43" t="n">
        <f aca="false">Supuestos!$C$50*(1+Supuestos!$C$39)^(BF6-1)*(1+Supuestos!$C$48)+IF(Supuestos!$C$50*(1+Supuestos!$C$39)^(BF6-1)&lt;=2*Supuestos!$C$37*(1+Supuestos!$C$39)^(BF6-1),Supuestos!$C$38*(1+Supuestos!$C$39)^(BF6-1)*(1+Supuestos!$C$49),0)</f>
        <v>3719601.27842586</v>
      </c>
      <c r="BG33" s="43" t="n">
        <f aca="false">Supuestos!$C$50*(1+Supuestos!$C$39)^(BG6-1)*(1+Supuestos!$C$48)+IF(Supuestos!$C$50*(1+Supuestos!$C$39)^(BG6-1)&lt;=2*Supuestos!$C$37*(1+Supuestos!$C$39)^(BG6-1),Supuestos!$C$38*(1+Supuestos!$C$39)^(BG6-1)*(1+Supuestos!$C$49),0)</f>
        <v>3719601.27842586</v>
      </c>
      <c r="BH33" s="43" t="n">
        <f aca="false">Supuestos!$C$50*(1+Supuestos!$C$39)^(BH6-1)*(1+Supuestos!$C$48)+IF(Supuestos!$C$50*(1+Supuestos!$C$39)^(BH6-1)&lt;=2*Supuestos!$C$37*(1+Supuestos!$C$39)^(BH6-1),Supuestos!$C$38*(1+Supuestos!$C$39)^(BH6-1)*(1+Supuestos!$C$49),0)</f>
        <v>3719601.27842586</v>
      </c>
      <c r="BI33" s="43" t="n">
        <f aca="false">Supuestos!$C$50*(1+Supuestos!$C$39)^(BI6-1)*(1+Supuestos!$C$48)+IF(Supuestos!$C$50*(1+Supuestos!$C$39)^(BI6-1)&lt;=2*Supuestos!$C$37*(1+Supuestos!$C$39)^(BI6-1),Supuestos!$C$38*(1+Supuestos!$C$39)^(BI6-1)*(1+Supuestos!$C$49),0)</f>
        <v>3719601.27842586</v>
      </c>
      <c r="BJ33" s="43" t="n">
        <f aca="false">Supuestos!$C$50*(1+Supuestos!$C$39)^(BJ6-1)*(1+Supuestos!$C$48)+IF(Supuestos!$C$50*(1+Supuestos!$C$39)^(BJ6-1)&lt;=2*Supuestos!$C$37*(1+Supuestos!$C$39)^(BJ6-1),Supuestos!$C$38*(1+Supuestos!$C$39)^(BJ6-1)*(1+Supuestos!$C$49),0)</f>
        <v>3719601.27842586</v>
      </c>
    </row>
    <row r="34" customFormat="false" ht="15" hidden="false" customHeight="true" outlineLevel="0" collapsed="false">
      <c r="A34" s="10" t="s">
        <v>197</v>
      </c>
      <c r="B34" s="7" t="s">
        <v>146</v>
      </c>
      <c r="C34" s="43" t="n">
        <f aca="false">C32*C33</f>
        <v>0</v>
      </c>
      <c r="D34" s="43" t="n">
        <f aca="false">D32*D33</f>
        <v>0</v>
      </c>
      <c r="E34" s="43" t="n">
        <f aca="false">E32*E33</f>
        <v>0</v>
      </c>
      <c r="F34" s="43" t="n">
        <f aca="false">F32*F33</f>
        <v>0</v>
      </c>
      <c r="G34" s="43" t="n">
        <f aca="false">G32*G33</f>
        <v>0</v>
      </c>
      <c r="H34" s="43" t="n">
        <f aca="false">H32*H33</f>
        <v>0</v>
      </c>
      <c r="I34" s="43" t="n">
        <f aca="false">I32*I33</f>
        <v>0</v>
      </c>
      <c r="J34" s="43" t="n">
        <f aca="false">J32*J33</f>
        <v>0</v>
      </c>
      <c r="K34" s="43" t="n">
        <f aca="false">K32*K33</f>
        <v>0</v>
      </c>
      <c r="L34" s="43" t="n">
        <f aca="false">L32*L33</f>
        <v>0</v>
      </c>
      <c r="M34" s="43" t="n">
        <f aca="false">M32*M33</f>
        <v>0</v>
      </c>
      <c r="N34" s="43" t="n">
        <f aca="false">N32*N33</f>
        <v>0</v>
      </c>
      <c r="O34" s="43" t="n">
        <f aca="false">O32*O33</f>
        <v>0</v>
      </c>
      <c r="P34" s="43" t="n">
        <f aca="false">P32*P33</f>
        <v>0</v>
      </c>
      <c r="Q34" s="43" t="n">
        <f aca="false">Q32*Q33</f>
        <v>0</v>
      </c>
      <c r="R34" s="43" t="n">
        <f aca="false">R32*R33</f>
        <v>0</v>
      </c>
      <c r="S34" s="43" t="n">
        <f aca="false">S32*S33</f>
        <v>0</v>
      </c>
      <c r="T34" s="43" t="n">
        <f aca="false">T32*T33</f>
        <v>0</v>
      </c>
      <c r="U34" s="43" t="n">
        <f aca="false">U32*U33</f>
        <v>0</v>
      </c>
      <c r="V34" s="43" t="n">
        <f aca="false">V32*V33</f>
        <v>0</v>
      </c>
      <c r="W34" s="43" t="n">
        <f aca="false">W32*W33</f>
        <v>0</v>
      </c>
      <c r="X34" s="43" t="n">
        <f aca="false">X32*X33</f>
        <v>0</v>
      </c>
      <c r="Y34" s="43" t="n">
        <f aca="false">Y32*Y33</f>
        <v>0</v>
      </c>
      <c r="Z34" s="43" t="n">
        <f aca="false">Z32*Z33</f>
        <v>0</v>
      </c>
      <c r="AA34" s="43" t="n">
        <f aca="false">AA32*AA33</f>
        <v>0</v>
      </c>
      <c r="AB34" s="43" t="n">
        <f aca="false">AB32*AB33</f>
        <v>0</v>
      </c>
      <c r="AC34" s="43" t="n">
        <f aca="false">AC32*AC33</f>
        <v>0</v>
      </c>
      <c r="AD34" s="43" t="n">
        <f aca="false">AD32*AD33</f>
        <v>0</v>
      </c>
      <c r="AE34" s="43" t="n">
        <f aca="false">AE32*AE33</f>
        <v>0</v>
      </c>
      <c r="AF34" s="43" t="n">
        <f aca="false">AF32*AF33</f>
        <v>0</v>
      </c>
      <c r="AG34" s="43" t="n">
        <f aca="false">AG32*AG33</f>
        <v>3373788.0076425</v>
      </c>
      <c r="AH34" s="43" t="n">
        <f aca="false">AH32*AH33</f>
        <v>3373788.0076425</v>
      </c>
      <c r="AI34" s="43" t="n">
        <f aca="false">AI32*AI33</f>
        <v>3373788.0076425</v>
      </c>
      <c r="AJ34" s="43" t="n">
        <f aca="false">AJ32*AJ33</f>
        <v>3373788.0076425</v>
      </c>
      <c r="AK34" s="43" t="n">
        <f aca="false">AK32*AK33</f>
        <v>3373788.0076425</v>
      </c>
      <c r="AL34" s="43" t="n">
        <f aca="false">AL32*AL33</f>
        <v>3373788.0076425</v>
      </c>
      <c r="AM34" s="43" t="n">
        <f aca="false">AM32*AM33</f>
        <v>3542477.40802463</v>
      </c>
      <c r="AN34" s="43" t="n">
        <f aca="false">AN32*AN33</f>
        <v>3542477.40802463</v>
      </c>
      <c r="AO34" s="43" t="n">
        <f aca="false">AO32*AO33</f>
        <v>3542477.40802463</v>
      </c>
      <c r="AP34" s="43" t="n">
        <f aca="false">AP32*AP33</f>
        <v>3542477.40802463</v>
      </c>
      <c r="AQ34" s="43" t="n">
        <f aca="false">AQ32*AQ33</f>
        <v>3542477.40802463</v>
      </c>
      <c r="AR34" s="43" t="n">
        <f aca="false">AR32*AR33</f>
        <v>3542477.40802463</v>
      </c>
      <c r="AS34" s="43" t="n">
        <f aca="false">AS32*AS33</f>
        <v>7084954.81604925</v>
      </c>
      <c r="AT34" s="43" t="n">
        <f aca="false">AT32*AT33</f>
        <v>7084954.81604925</v>
      </c>
      <c r="AU34" s="43" t="n">
        <f aca="false">AU32*AU33</f>
        <v>7084954.81604925</v>
      </c>
      <c r="AV34" s="43" t="n">
        <f aca="false">AV32*AV33</f>
        <v>7084954.81604925</v>
      </c>
      <c r="AW34" s="43" t="n">
        <f aca="false">AW32*AW33</f>
        <v>7084954.81604925</v>
      </c>
      <c r="AX34" s="43" t="n">
        <f aca="false">AX32*AX33</f>
        <v>7084954.81604925</v>
      </c>
      <c r="AY34" s="43" t="n">
        <f aca="false">AY32*AY33</f>
        <v>7439202.55685171</v>
      </c>
      <c r="AZ34" s="43" t="n">
        <f aca="false">AZ32*AZ33</f>
        <v>7439202.55685171</v>
      </c>
      <c r="BA34" s="43" t="n">
        <f aca="false">BA32*BA33</f>
        <v>7439202.55685171</v>
      </c>
      <c r="BB34" s="43" t="n">
        <f aca="false">BB32*BB33</f>
        <v>7439202.55685171</v>
      </c>
      <c r="BC34" s="43" t="n">
        <f aca="false">BC32*BC33</f>
        <v>7439202.55685171</v>
      </c>
      <c r="BD34" s="43" t="n">
        <f aca="false">BD32*BD33</f>
        <v>11158803.8352776</v>
      </c>
      <c r="BE34" s="43" t="n">
        <f aca="false">BE32*BE33</f>
        <v>11158803.8352776</v>
      </c>
      <c r="BF34" s="43" t="n">
        <f aca="false">BF32*BF33</f>
        <v>11158803.8352776</v>
      </c>
      <c r="BG34" s="43" t="n">
        <f aca="false">BG32*BG33</f>
        <v>11158803.8352776</v>
      </c>
      <c r="BH34" s="43" t="n">
        <f aca="false">BH32*BH33</f>
        <v>11158803.8352776</v>
      </c>
      <c r="BI34" s="43" t="n">
        <f aca="false">BI32*BI33</f>
        <v>11158803.8352776</v>
      </c>
      <c r="BJ34" s="43" t="n">
        <f aca="false">BJ32*BJ33</f>
        <v>11158803.8352776</v>
      </c>
    </row>
    <row r="35" customFormat="false" ht="15" hidden="false" customHeight="true" outlineLevel="0" collapsed="false">
      <c r="A35" s="10" t="s">
        <v>260</v>
      </c>
      <c r="B35" s="7" t="s">
        <v>109</v>
      </c>
      <c r="C35" s="39" t="n">
        <f aca="false">IF(C5&gt;=INDEX(Supuestos!$C$18:$E$18,1,$B$2),Supuestos!$C$51,0)</f>
        <v>0</v>
      </c>
      <c r="D35" s="39" t="n">
        <f aca="false">IF(D5&gt;=INDEX(Supuestos!$C$18:$E$18,1,$B$2),Supuestos!$C$51,0)</f>
        <v>0</v>
      </c>
      <c r="E35" s="39" t="n">
        <f aca="false">IF(E5&gt;=INDEX(Supuestos!$C$18:$E$18,1,$B$2),Supuestos!$C$51,0)</f>
        <v>0</v>
      </c>
      <c r="F35" s="39" t="n">
        <f aca="false">IF(F5&gt;=INDEX(Supuestos!$C$18:$E$18,1,$B$2),Supuestos!$C$51,0)</f>
        <v>0</v>
      </c>
      <c r="G35" s="39" t="n">
        <f aca="false">IF(G5&gt;=INDEX(Supuestos!$C$18:$E$18,1,$B$2),Supuestos!$C$51,0)</f>
        <v>0</v>
      </c>
      <c r="H35" s="39" t="n">
        <f aca="false">IF(H5&gt;=INDEX(Supuestos!$C$18:$E$18,1,$B$2),Supuestos!$C$51,0)</f>
        <v>0</v>
      </c>
      <c r="I35" s="39" t="n">
        <f aca="false">IF(I5&gt;=INDEX(Supuestos!$C$18:$E$18,1,$B$2),Supuestos!$C$51,0)</f>
        <v>0</v>
      </c>
      <c r="J35" s="39" t="n">
        <f aca="false">IF(J5&gt;=INDEX(Supuestos!$C$18:$E$18,1,$B$2),Supuestos!$C$51,0)</f>
        <v>0</v>
      </c>
      <c r="K35" s="39" t="n">
        <f aca="false">IF(K5&gt;=INDEX(Supuestos!$C$18:$E$18,1,$B$2),Supuestos!$C$51,0)</f>
        <v>0</v>
      </c>
      <c r="L35" s="39" t="n">
        <f aca="false">IF(L5&gt;=INDEX(Supuestos!$C$18:$E$18,1,$B$2),Supuestos!$C$51,0)</f>
        <v>0</v>
      </c>
      <c r="M35" s="39" t="n">
        <f aca="false">IF(M5&gt;=INDEX(Supuestos!$C$18:$E$18,1,$B$2),Supuestos!$C$51,0)</f>
        <v>0</v>
      </c>
      <c r="N35" s="39" t="n">
        <f aca="false">IF(N5&gt;=INDEX(Supuestos!$C$18:$E$18,1,$B$2),Supuestos!$C$51,0)</f>
        <v>0</v>
      </c>
      <c r="O35" s="39" t="n">
        <f aca="false">IF(O5&gt;=INDEX(Supuestos!$C$18:$E$18,1,$B$2),Supuestos!$C$51,0)</f>
        <v>0</v>
      </c>
      <c r="P35" s="39" t="n">
        <f aca="false">IF(P5&gt;=INDEX(Supuestos!$C$18:$E$18,1,$B$2),Supuestos!$C$51,0)</f>
        <v>0</v>
      </c>
      <c r="Q35" s="39" t="n">
        <f aca="false">IF(Q5&gt;=INDEX(Supuestos!$C$18:$E$18,1,$B$2),Supuestos!$C$51,0)</f>
        <v>0</v>
      </c>
      <c r="R35" s="39" t="n">
        <f aca="false">IF(R5&gt;=INDEX(Supuestos!$C$18:$E$18,1,$B$2),Supuestos!$C$51,0)</f>
        <v>0</v>
      </c>
      <c r="S35" s="39" t="n">
        <f aca="false">IF(S5&gt;=INDEX(Supuestos!$C$18:$E$18,1,$B$2),Supuestos!$C$51,0)</f>
        <v>0</v>
      </c>
      <c r="T35" s="39" t="n">
        <f aca="false">IF(T5&gt;=INDEX(Supuestos!$C$18:$E$18,1,$B$2),Supuestos!$C$51,0)</f>
        <v>0</v>
      </c>
      <c r="U35" s="39" t="n">
        <f aca="false">IF(U5&gt;=INDEX(Supuestos!$C$18:$E$18,1,$B$2),Supuestos!$C$51,0)</f>
        <v>0</v>
      </c>
      <c r="V35" s="39" t="n">
        <f aca="false">IF(V5&gt;=INDEX(Supuestos!$C$18:$E$18,1,$B$2),Supuestos!$C$51,0)</f>
        <v>0</v>
      </c>
      <c r="W35" s="39" t="n">
        <f aca="false">IF(W5&gt;=INDEX(Supuestos!$C$18:$E$18,1,$B$2),Supuestos!$C$51,0)</f>
        <v>0</v>
      </c>
      <c r="X35" s="39" t="n">
        <f aca="false">IF(X5&gt;=INDEX(Supuestos!$C$18:$E$18,1,$B$2),Supuestos!$C$51,0)</f>
        <v>0</v>
      </c>
      <c r="Y35" s="39" t="n">
        <f aca="false">IF(Y5&gt;=INDEX(Supuestos!$C$18:$E$18,1,$B$2),Supuestos!$C$51,0)</f>
        <v>0</v>
      </c>
      <c r="Z35" s="39" t="n">
        <f aca="false">IF(Z5&gt;=INDEX(Supuestos!$C$18:$E$18,1,$B$2),Supuestos!$C$51,0)</f>
        <v>0</v>
      </c>
      <c r="AA35" s="39" t="n">
        <f aca="false">IF(AA5&gt;=INDEX(Supuestos!$C$18:$E$18,1,$B$2),Supuestos!$C$51,0)</f>
        <v>3</v>
      </c>
      <c r="AB35" s="39" t="n">
        <f aca="false">IF(AB5&gt;=INDEX(Supuestos!$C$18:$E$18,1,$B$2),Supuestos!$C$51,0)</f>
        <v>3</v>
      </c>
      <c r="AC35" s="39" t="n">
        <f aca="false">IF(AC5&gt;=INDEX(Supuestos!$C$18:$E$18,1,$B$2),Supuestos!$C$51,0)</f>
        <v>3</v>
      </c>
      <c r="AD35" s="39" t="n">
        <f aca="false">IF(AD5&gt;=INDEX(Supuestos!$C$18:$E$18,1,$B$2),Supuestos!$C$51,0)</f>
        <v>3</v>
      </c>
      <c r="AE35" s="39" t="n">
        <f aca="false">IF(AE5&gt;=INDEX(Supuestos!$C$18:$E$18,1,$B$2),Supuestos!$C$51,0)</f>
        <v>3</v>
      </c>
      <c r="AF35" s="39" t="n">
        <f aca="false">IF(AF5&gt;=INDEX(Supuestos!$C$18:$E$18,1,$B$2),Supuestos!$C$51,0)</f>
        <v>3</v>
      </c>
      <c r="AG35" s="39" t="n">
        <f aca="false">IF(AG5&gt;=INDEX(Supuestos!$C$18:$E$18,1,$B$2),Supuestos!$C$51,0)</f>
        <v>3</v>
      </c>
      <c r="AH35" s="39" t="n">
        <f aca="false">IF(AH5&gt;=INDEX(Supuestos!$C$18:$E$18,1,$B$2),Supuestos!$C$51,0)</f>
        <v>3</v>
      </c>
      <c r="AI35" s="39" t="n">
        <f aca="false">IF(AI5&gt;=INDEX(Supuestos!$C$18:$E$18,1,$B$2),Supuestos!$C$51,0)</f>
        <v>3</v>
      </c>
      <c r="AJ35" s="39" t="n">
        <f aca="false">IF(AJ5&gt;=INDEX(Supuestos!$C$18:$E$18,1,$B$2),Supuestos!$C$51,0)</f>
        <v>3</v>
      </c>
      <c r="AK35" s="39" t="n">
        <f aca="false">IF(AK5&gt;=INDEX(Supuestos!$C$18:$E$18,1,$B$2),Supuestos!$C$51,0)</f>
        <v>3</v>
      </c>
      <c r="AL35" s="39" t="n">
        <f aca="false">IF(AL5&gt;=INDEX(Supuestos!$C$18:$E$18,1,$B$2),Supuestos!$C$51,0)</f>
        <v>3</v>
      </c>
      <c r="AM35" s="39" t="n">
        <f aca="false">IF(AM5&gt;=INDEX(Supuestos!$C$18:$E$18,1,$B$2),Supuestos!$C$51,0)</f>
        <v>3</v>
      </c>
      <c r="AN35" s="39" t="n">
        <f aca="false">IF(AN5&gt;=INDEX(Supuestos!$C$18:$E$18,1,$B$2),Supuestos!$C$51,0)</f>
        <v>3</v>
      </c>
      <c r="AO35" s="39" t="n">
        <f aca="false">IF(AO5&gt;=INDEX(Supuestos!$C$18:$E$18,1,$B$2),Supuestos!$C$51,0)</f>
        <v>3</v>
      </c>
      <c r="AP35" s="39" t="n">
        <f aca="false">IF(AP5&gt;=INDEX(Supuestos!$C$18:$E$18,1,$B$2),Supuestos!$C$51,0)</f>
        <v>3</v>
      </c>
      <c r="AQ35" s="39" t="n">
        <f aca="false">IF(AQ5&gt;=INDEX(Supuestos!$C$18:$E$18,1,$B$2),Supuestos!$C$51,0)</f>
        <v>3</v>
      </c>
      <c r="AR35" s="39" t="n">
        <f aca="false">IF(AR5&gt;=INDEX(Supuestos!$C$18:$E$18,1,$B$2),Supuestos!$C$51,0)</f>
        <v>3</v>
      </c>
      <c r="AS35" s="39" t="n">
        <f aca="false">IF(AS5&gt;=INDEX(Supuestos!$C$18:$E$18,1,$B$2),Supuestos!$C$51,0)</f>
        <v>3</v>
      </c>
      <c r="AT35" s="39" t="n">
        <f aca="false">IF(AT5&gt;=INDEX(Supuestos!$C$18:$E$18,1,$B$2),Supuestos!$C$51,0)</f>
        <v>3</v>
      </c>
      <c r="AU35" s="39" t="n">
        <f aca="false">IF(AU5&gt;=INDEX(Supuestos!$C$18:$E$18,1,$B$2),Supuestos!$C$51,0)</f>
        <v>3</v>
      </c>
      <c r="AV35" s="39" t="n">
        <f aca="false">IF(AV5&gt;=INDEX(Supuestos!$C$18:$E$18,1,$B$2),Supuestos!$C$51,0)</f>
        <v>3</v>
      </c>
      <c r="AW35" s="39" t="n">
        <f aca="false">IF(AW5&gt;=INDEX(Supuestos!$C$18:$E$18,1,$B$2),Supuestos!$C$51,0)</f>
        <v>3</v>
      </c>
      <c r="AX35" s="39" t="n">
        <f aca="false">IF(AX5&gt;=INDEX(Supuestos!$C$18:$E$18,1,$B$2),Supuestos!$C$51,0)</f>
        <v>3</v>
      </c>
      <c r="AY35" s="39" t="n">
        <f aca="false">IF(AY5&gt;=INDEX(Supuestos!$C$18:$E$18,1,$B$2),Supuestos!$C$51,0)</f>
        <v>3</v>
      </c>
      <c r="AZ35" s="39" t="n">
        <f aca="false">IF(AZ5&gt;=INDEX(Supuestos!$C$18:$E$18,1,$B$2),Supuestos!$C$51,0)</f>
        <v>3</v>
      </c>
      <c r="BA35" s="39" t="n">
        <f aca="false">IF(BA5&gt;=INDEX(Supuestos!$C$18:$E$18,1,$B$2),Supuestos!$C$51,0)</f>
        <v>3</v>
      </c>
      <c r="BB35" s="39" t="n">
        <f aca="false">IF(BB5&gt;=INDEX(Supuestos!$C$18:$E$18,1,$B$2),Supuestos!$C$51,0)</f>
        <v>3</v>
      </c>
      <c r="BC35" s="39" t="n">
        <f aca="false">IF(BC5&gt;=INDEX(Supuestos!$C$18:$E$18,1,$B$2),Supuestos!$C$51,0)</f>
        <v>3</v>
      </c>
      <c r="BD35" s="39" t="n">
        <f aca="false">IF(BD5&gt;=INDEX(Supuestos!$C$18:$E$18,1,$B$2),Supuestos!$C$51,0)</f>
        <v>3</v>
      </c>
      <c r="BE35" s="39" t="n">
        <f aca="false">IF(BE5&gt;=INDEX(Supuestos!$C$18:$E$18,1,$B$2),Supuestos!$C$51,0)</f>
        <v>3</v>
      </c>
      <c r="BF35" s="39" t="n">
        <f aca="false">IF(BF5&gt;=INDEX(Supuestos!$C$18:$E$18,1,$B$2),Supuestos!$C$51,0)</f>
        <v>3</v>
      </c>
      <c r="BG35" s="39" t="n">
        <f aca="false">IF(BG5&gt;=INDEX(Supuestos!$C$18:$E$18,1,$B$2),Supuestos!$C$51,0)</f>
        <v>3</v>
      </c>
      <c r="BH35" s="39" t="n">
        <f aca="false">IF(BH5&gt;=INDEX(Supuestos!$C$18:$E$18,1,$B$2),Supuestos!$C$51,0)</f>
        <v>3</v>
      </c>
      <c r="BI35" s="39" t="n">
        <f aca="false">IF(BI5&gt;=INDEX(Supuestos!$C$18:$E$18,1,$B$2),Supuestos!$C$51,0)</f>
        <v>3</v>
      </c>
      <c r="BJ35" s="39" t="n">
        <f aca="false">IF(BJ5&gt;=INDEX(Supuestos!$C$18:$E$18,1,$B$2),Supuestos!$C$51,0)</f>
        <v>3</v>
      </c>
    </row>
    <row r="36" customFormat="false" ht="15" hidden="false" customHeight="true" outlineLevel="0" collapsed="false">
      <c r="A36" s="10" t="s">
        <v>261</v>
      </c>
      <c r="B36" s="7" t="s">
        <v>146</v>
      </c>
      <c r="C36" s="43" t="n">
        <f aca="false">Supuestos!$C$52*(1+Supuestos!$C$39)^(C6-1)*(1+Supuestos!$C$48)+IF(Supuestos!$C$52*(1+Supuestos!$C$39)^(C6-1)&lt;=2*Supuestos!$C$37*(1+Supuestos!$C$39)^(C6-1),Supuestos!$C$38*(1+Supuestos!$C$39)^(C6-1)*(1+Supuestos!$C$49),0)</f>
        <v>4443645.177</v>
      </c>
      <c r="D36" s="43" t="n">
        <f aca="false">Supuestos!$C$52*(1+Supuestos!$C$39)^(D6-1)*(1+Supuestos!$C$48)+IF(Supuestos!$C$52*(1+Supuestos!$C$39)^(D6-1)&lt;=2*Supuestos!$C$37*(1+Supuestos!$C$39)^(D6-1),Supuestos!$C$38*(1+Supuestos!$C$39)^(D6-1)*(1+Supuestos!$C$49),0)</f>
        <v>4443645.177</v>
      </c>
      <c r="E36" s="43" t="n">
        <f aca="false">Supuestos!$C$52*(1+Supuestos!$C$39)^(E6-1)*(1+Supuestos!$C$48)+IF(Supuestos!$C$52*(1+Supuestos!$C$39)^(E6-1)&lt;=2*Supuestos!$C$37*(1+Supuestos!$C$39)^(E6-1),Supuestos!$C$38*(1+Supuestos!$C$39)^(E6-1)*(1+Supuestos!$C$49),0)</f>
        <v>4443645.177</v>
      </c>
      <c r="F36" s="43" t="n">
        <f aca="false">Supuestos!$C$52*(1+Supuestos!$C$39)^(F6-1)*(1+Supuestos!$C$48)+IF(Supuestos!$C$52*(1+Supuestos!$C$39)^(F6-1)&lt;=2*Supuestos!$C$37*(1+Supuestos!$C$39)^(F6-1),Supuestos!$C$38*(1+Supuestos!$C$39)^(F6-1)*(1+Supuestos!$C$49),0)</f>
        <v>4443645.177</v>
      </c>
      <c r="G36" s="43" t="n">
        <f aca="false">Supuestos!$C$52*(1+Supuestos!$C$39)^(G6-1)*(1+Supuestos!$C$48)+IF(Supuestos!$C$52*(1+Supuestos!$C$39)^(G6-1)&lt;=2*Supuestos!$C$37*(1+Supuestos!$C$39)^(G6-1),Supuestos!$C$38*(1+Supuestos!$C$39)^(G6-1)*(1+Supuestos!$C$49),0)</f>
        <v>4443645.177</v>
      </c>
      <c r="H36" s="43" t="n">
        <f aca="false">Supuestos!$C$52*(1+Supuestos!$C$39)^(H6-1)*(1+Supuestos!$C$48)+IF(Supuestos!$C$52*(1+Supuestos!$C$39)^(H6-1)&lt;=2*Supuestos!$C$37*(1+Supuestos!$C$39)^(H6-1),Supuestos!$C$38*(1+Supuestos!$C$39)^(H6-1)*(1+Supuestos!$C$49),0)</f>
        <v>4443645.177</v>
      </c>
      <c r="I36" s="43" t="n">
        <f aca="false">Supuestos!$C$52*(1+Supuestos!$C$39)^(I6-1)*(1+Supuestos!$C$48)+IF(Supuestos!$C$52*(1+Supuestos!$C$39)^(I6-1)&lt;=2*Supuestos!$C$37*(1+Supuestos!$C$39)^(I6-1),Supuestos!$C$38*(1+Supuestos!$C$39)^(I6-1)*(1+Supuestos!$C$49),0)</f>
        <v>4443645.177</v>
      </c>
      <c r="J36" s="43" t="n">
        <f aca="false">Supuestos!$C$52*(1+Supuestos!$C$39)^(J6-1)*(1+Supuestos!$C$48)+IF(Supuestos!$C$52*(1+Supuestos!$C$39)^(J6-1)&lt;=2*Supuestos!$C$37*(1+Supuestos!$C$39)^(J6-1),Supuestos!$C$38*(1+Supuestos!$C$39)^(J6-1)*(1+Supuestos!$C$49),0)</f>
        <v>4443645.177</v>
      </c>
      <c r="K36" s="43" t="n">
        <f aca="false">Supuestos!$C$52*(1+Supuestos!$C$39)^(K6-1)*(1+Supuestos!$C$48)+IF(Supuestos!$C$52*(1+Supuestos!$C$39)^(K6-1)&lt;=2*Supuestos!$C$37*(1+Supuestos!$C$39)^(K6-1),Supuestos!$C$38*(1+Supuestos!$C$39)^(K6-1)*(1+Supuestos!$C$49),0)</f>
        <v>4443645.177</v>
      </c>
      <c r="L36" s="43" t="n">
        <f aca="false">Supuestos!$C$52*(1+Supuestos!$C$39)^(L6-1)*(1+Supuestos!$C$48)+IF(Supuestos!$C$52*(1+Supuestos!$C$39)^(L6-1)&lt;=2*Supuestos!$C$37*(1+Supuestos!$C$39)^(L6-1),Supuestos!$C$38*(1+Supuestos!$C$39)^(L6-1)*(1+Supuestos!$C$49),0)</f>
        <v>4443645.177</v>
      </c>
      <c r="M36" s="43" t="n">
        <f aca="false">Supuestos!$C$52*(1+Supuestos!$C$39)^(M6-1)*(1+Supuestos!$C$48)+IF(Supuestos!$C$52*(1+Supuestos!$C$39)^(M6-1)&lt;=2*Supuestos!$C$37*(1+Supuestos!$C$39)^(M6-1),Supuestos!$C$38*(1+Supuestos!$C$39)^(M6-1)*(1+Supuestos!$C$49),0)</f>
        <v>4443645.177</v>
      </c>
      <c r="N36" s="43" t="n">
        <f aca="false">Supuestos!$C$52*(1+Supuestos!$C$39)^(N6-1)*(1+Supuestos!$C$48)+IF(Supuestos!$C$52*(1+Supuestos!$C$39)^(N6-1)&lt;=2*Supuestos!$C$37*(1+Supuestos!$C$39)^(N6-1),Supuestos!$C$38*(1+Supuestos!$C$39)^(N6-1)*(1+Supuestos!$C$49),0)</f>
        <v>4443645.177</v>
      </c>
      <c r="O36" s="43" t="n">
        <f aca="false">Supuestos!$C$52*(1+Supuestos!$C$39)^(O6-1)*(1+Supuestos!$C$48)+IF(Supuestos!$C$52*(1+Supuestos!$C$39)^(O6-1)&lt;=2*Supuestos!$C$37*(1+Supuestos!$C$39)^(O6-1),Supuestos!$C$38*(1+Supuestos!$C$39)^(O6-1)*(1+Supuestos!$C$49),0)</f>
        <v>4665827.43585</v>
      </c>
      <c r="P36" s="43" t="n">
        <f aca="false">Supuestos!$C$52*(1+Supuestos!$C$39)^(P6-1)*(1+Supuestos!$C$48)+IF(Supuestos!$C$52*(1+Supuestos!$C$39)^(P6-1)&lt;=2*Supuestos!$C$37*(1+Supuestos!$C$39)^(P6-1),Supuestos!$C$38*(1+Supuestos!$C$39)^(P6-1)*(1+Supuestos!$C$49),0)</f>
        <v>4665827.43585</v>
      </c>
      <c r="Q36" s="43" t="n">
        <f aca="false">Supuestos!$C$52*(1+Supuestos!$C$39)^(Q6-1)*(1+Supuestos!$C$48)+IF(Supuestos!$C$52*(1+Supuestos!$C$39)^(Q6-1)&lt;=2*Supuestos!$C$37*(1+Supuestos!$C$39)^(Q6-1),Supuestos!$C$38*(1+Supuestos!$C$39)^(Q6-1)*(1+Supuestos!$C$49),0)</f>
        <v>4665827.43585</v>
      </c>
      <c r="R36" s="43" t="n">
        <f aca="false">Supuestos!$C$52*(1+Supuestos!$C$39)^(R6-1)*(1+Supuestos!$C$48)+IF(Supuestos!$C$52*(1+Supuestos!$C$39)^(R6-1)&lt;=2*Supuestos!$C$37*(1+Supuestos!$C$39)^(R6-1),Supuestos!$C$38*(1+Supuestos!$C$39)^(R6-1)*(1+Supuestos!$C$49),0)</f>
        <v>4665827.43585</v>
      </c>
      <c r="S36" s="43" t="n">
        <f aca="false">Supuestos!$C$52*(1+Supuestos!$C$39)^(S6-1)*(1+Supuestos!$C$48)+IF(Supuestos!$C$52*(1+Supuestos!$C$39)^(S6-1)&lt;=2*Supuestos!$C$37*(1+Supuestos!$C$39)^(S6-1),Supuestos!$C$38*(1+Supuestos!$C$39)^(S6-1)*(1+Supuestos!$C$49),0)</f>
        <v>4665827.43585</v>
      </c>
      <c r="T36" s="43" t="n">
        <f aca="false">Supuestos!$C$52*(1+Supuestos!$C$39)^(T6-1)*(1+Supuestos!$C$48)+IF(Supuestos!$C$52*(1+Supuestos!$C$39)^(T6-1)&lt;=2*Supuestos!$C$37*(1+Supuestos!$C$39)^(T6-1),Supuestos!$C$38*(1+Supuestos!$C$39)^(T6-1)*(1+Supuestos!$C$49),0)</f>
        <v>4665827.43585</v>
      </c>
      <c r="U36" s="43" t="n">
        <f aca="false">Supuestos!$C$52*(1+Supuestos!$C$39)^(U6-1)*(1+Supuestos!$C$48)+IF(Supuestos!$C$52*(1+Supuestos!$C$39)^(U6-1)&lt;=2*Supuestos!$C$37*(1+Supuestos!$C$39)^(U6-1),Supuestos!$C$38*(1+Supuestos!$C$39)^(U6-1)*(1+Supuestos!$C$49),0)</f>
        <v>4665827.43585</v>
      </c>
      <c r="V36" s="43" t="n">
        <f aca="false">Supuestos!$C$52*(1+Supuestos!$C$39)^(V6-1)*(1+Supuestos!$C$48)+IF(Supuestos!$C$52*(1+Supuestos!$C$39)^(V6-1)&lt;=2*Supuestos!$C$37*(1+Supuestos!$C$39)^(V6-1),Supuestos!$C$38*(1+Supuestos!$C$39)^(V6-1)*(1+Supuestos!$C$49),0)</f>
        <v>4665827.43585</v>
      </c>
      <c r="W36" s="43" t="n">
        <f aca="false">Supuestos!$C$52*(1+Supuestos!$C$39)^(W6-1)*(1+Supuestos!$C$48)+IF(Supuestos!$C$52*(1+Supuestos!$C$39)^(W6-1)&lt;=2*Supuestos!$C$37*(1+Supuestos!$C$39)^(W6-1),Supuestos!$C$38*(1+Supuestos!$C$39)^(W6-1)*(1+Supuestos!$C$49),0)</f>
        <v>4665827.43585</v>
      </c>
      <c r="X36" s="43" t="n">
        <f aca="false">Supuestos!$C$52*(1+Supuestos!$C$39)^(X6-1)*(1+Supuestos!$C$48)+IF(Supuestos!$C$52*(1+Supuestos!$C$39)^(X6-1)&lt;=2*Supuestos!$C$37*(1+Supuestos!$C$39)^(X6-1),Supuestos!$C$38*(1+Supuestos!$C$39)^(X6-1)*(1+Supuestos!$C$49),0)</f>
        <v>4665827.43585</v>
      </c>
      <c r="Y36" s="43" t="n">
        <f aca="false">Supuestos!$C$52*(1+Supuestos!$C$39)^(Y6-1)*(1+Supuestos!$C$48)+IF(Supuestos!$C$52*(1+Supuestos!$C$39)^(Y6-1)&lt;=2*Supuestos!$C$37*(1+Supuestos!$C$39)^(Y6-1),Supuestos!$C$38*(1+Supuestos!$C$39)^(Y6-1)*(1+Supuestos!$C$49),0)</f>
        <v>4665827.43585</v>
      </c>
      <c r="Z36" s="43" t="n">
        <f aca="false">Supuestos!$C$52*(1+Supuestos!$C$39)^(Z6-1)*(1+Supuestos!$C$48)+IF(Supuestos!$C$52*(1+Supuestos!$C$39)^(Z6-1)&lt;=2*Supuestos!$C$37*(1+Supuestos!$C$39)^(Z6-1),Supuestos!$C$38*(1+Supuestos!$C$39)^(Z6-1)*(1+Supuestos!$C$49),0)</f>
        <v>4665827.43585</v>
      </c>
      <c r="AA36" s="43" t="n">
        <f aca="false">Supuestos!$C$52*(1+Supuestos!$C$39)^(AA6-1)*(1+Supuestos!$C$48)+IF(Supuestos!$C$52*(1+Supuestos!$C$39)^(AA6-1)&lt;=2*Supuestos!$C$37*(1+Supuestos!$C$39)^(AA6-1),Supuestos!$C$38*(1+Supuestos!$C$39)^(AA6-1)*(1+Supuestos!$C$49),0)</f>
        <v>4899118.8076425</v>
      </c>
      <c r="AB36" s="43" t="n">
        <f aca="false">Supuestos!$C$52*(1+Supuestos!$C$39)^(AB6-1)*(1+Supuestos!$C$48)+IF(Supuestos!$C$52*(1+Supuestos!$C$39)^(AB6-1)&lt;=2*Supuestos!$C$37*(1+Supuestos!$C$39)^(AB6-1),Supuestos!$C$38*(1+Supuestos!$C$39)^(AB6-1)*(1+Supuestos!$C$49),0)</f>
        <v>4899118.8076425</v>
      </c>
      <c r="AC36" s="43" t="n">
        <f aca="false">Supuestos!$C$52*(1+Supuestos!$C$39)^(AC6-1)*(1+Supuestos!$C$48)+IF(Supuestos!$C$52*(1+Supuestos!$C$39)^(AC6-1)&lt;=2*Supuestos!$C$37*(1+Supuestos!$C$39)^(AC6-1),Supuestos!$C$38*(1+Supuestos!$C$39)^(AC6-1)*(1+Supuestos!$C$49),0)</f>
        <v>4899118.8076425</v>
      </c>
      <c r="AD36" s="43" t="n">
        <f aca="false">Supuestos!$C$52*(1+Supuestos!$C$39)^(AD6-1)*(1+Supuestos!$C$48)+IF(Supuestos!$C$52*(1+Supuestos!$C$39)^(AD6-1)&lt;=2*Supuestos!$C$37*(1+Supuestos!$C$39)^(AD6-1),Supuestos!$C$38*(1+Supuestos!$C$39)^(AD6-1)*(1+Supuestos!$C$49),0)</f>
        <v>4899118.8076425</v>
      </c>
      <c r="AE36" s="43" t="n">
        <f aca="false">Supuestos!$C$52*(1+Supuestos!$C$39)^(AE6-1)*(1+Supuestos!$C$48)+IF(Supuestos!$C$52*(1+Supuestos!$C$39)^(AE6-1)&lt;=2*Supuestos!$C$37*(1+Supuestos!$C$39)^(AE6-1),Supuestos!$C$38*(1+Supuestos!$C$39)^(AE6-1)*(1+Supuestos!$C$49),0)</f>
        <v>4899118.8076425</v>
      </c>
      <c r="AF36" s="43" t="n">
        <f aca="false">Supuestos!$C$52*(1+Supuestos!$C$39)^(AF6-1)*(1+Supuestos!$C$48)+IF(Supuestos!$C$52*(1+Supuestos!$C$39)^(AF6-1)&lt;=2*Supuestos!$C$37*(1+Supuestos!$C$39)^(AF6-1),Supuestos!$C$38*(1+Supuestos!$C$39)^(AF6-1)*(1+Supuestos!$C$49),0)</f>
        <v>4899118.8076425</v>
      </c>
      <c r="AG36" s="43" t="n">
        <f aca="false">Supuestos!$C$52*(1+Supuestos!$C$39)^(AG6-1)*(1+Supuestos!$C$48)+IF(Supuestos!$C$52*(1+Supuestos!$C$39)^(AG6-1)&lt;=2*Supuestos!$C$37*(1+Supuestos!$C$39)^(AG6-1),Supuestos!$C$38*(1+Supuestos!$C$39)^(AG6-1)*(1+Supuestos!$C$49),0)</f>
        <v>4899118.8076425</v>
      </c>
      <c r="AH36" s="43" t="n">
        <f aca="false">Supuestos!$C$52*(1+Supuestos!$C$39)^(AH6-1)*(1+Supuestos!$C$48)+IF(Supuestos!$C$52*(1+Supuestos!$C$39)^(AH6-1)&lt;=2*Supuestos!$C$37*(1+Supuestos!$C$39)^(AH6-1),Supuestos!$C$38*(1+Supuestos!$C$39)^(AH6-1)*(1+Supuestos!$C$49),0)</f>
        <v>4899118.8076425</v>
      </c>
      <c r="AI36" s="43" t="n">
        <f aca="false">Supuestos!$C$52*(1+Supuestos!$C$39)^(AI6-1)*(1+Supuestos!$C$48)+IF(Supuestos!$C$52*(1+Supuestos!$C$39)^(AI6-1)&lt;=2*Supuestos!$C$37*(1+Supuestos!$C$39)^(AI6-1),Supuestos!$C$38*(1+Supuestos!$C$39)^(AI6-1)*(1+Supuestos!$C$49),0)</f>
        <v>4899118.8076425</v>
      </c>
      <c r="AJ36" s="43" t="n">
        <f aca="false">Supuestos!$C$52*(1+Supuestos!$C$39)^(AJ6-1)*(1+Supuestos!$C$48)+IF(Supuestos!$C$52*(1+Supuestos!$C$39)^(AJ6-1)&lt;=2*Supuestos!$C$37*(1+Supuestos!$C$39)^(AJ6-1),Supuestos!$C$38*(1+Supuestos!$C$39)^(AJ6-1)*(1+Supuestos!$C$49),0)</f>
        <v>4899118.8076425</v>
      </c>
      <c r="AK36" s="43" t="n">
        <f aca="false">Supuestos!$C$52*(1+Supuestos!$C$39)^(AK6-1)*(1+Supuestos!$C$48)+IF(Supuestos!$C$52*(1+Supuestos!$C$39)^(AK6-1)&lt;=2*Supuestos!$C$37*(1+Supuestos!$C$39)^(AK6-1),Supuestos!$C$38*(1+Supuestos!$C$39)^(AK6-1)*(1+Supuestos!$C$49),0)</f>
        <v>4899118.8076425</v>
      </c>
      <c r="AL36" s="43" t="n">
        <f aca="false">Supuestos!$C$52*(1+Supuestos!$C$39)^(AL6-1)*(1+Supuestos!$C$48)+IF(Supuestos!$C$52*(1+Supuestos!$C$39)^(AL6-1)&lt;=2*Supuestos!$C$37*(1+Supuestos!$C$39)^(AL6-1),Supuestos!$C$38*(1+Supuestos!$C$39)^(AL6-1)*(1+Supuestos!$C$49),0)</f>
        <v>4899118.8076425</v>
      </c>
      <c r="AM36" s="43" t="n">
        <f aca="false">Supuestos!$C$52*(1+Supuestos!$C$39)^(AM6-1)*(1+Supuestos!$C$48)+IF(Supuestos!$C$52*(1+Supuestos!$C$39)^(AM6-1)&lt;=2*Supuestos!$C$37*(1+Supuestos!$C$39)^(AM6-1),Supuestos!$C$38*(1+Supuestos!$C$39)^(AM6-1)*(1+Supuestos!$C$49),0)</f>
        <v>5144074.74802463</v>
      </c>
      <c r="AN36" s="43" t="n">
        <f aca="false">Supuestos!$C$52*(1+Supuestos!$C$39)^(AN6-1)*(1+Supuestos!$C$48)+IF(Supuestos!$C$52*(1+Supuestos!$C$39)^(AN6-1)&lt;=2*Supuestos!$C$37*(1+Supuestos!$C$39)^(AN6-1),Supuestos!$C$38*(1+Supuestos!$C$39)^(AN6-1)*(1+Supuestos!$C$49),0)</f>
        <v>5144074.74802463</v>
      </c>
      <c r="AO36" s="43" t="n">
        <f aca="false">Supuestos!$C$52*(1+Supuestos!$C$39)^(AO6-1)*(1+Supuestos!$C$48)+IF(Supuestos!$C$52*(1+Supuestos!$C$39)^(AO6-1)&lt;=2*Supuestos!$C$37*(1+Supuestos!$C$39)^(AO6-1),Supuestos!$C$38*(1+Supuestos!$C$39)^(AO6-1)*(1+Supuestos!$C$49),0)</f>
        <v>5144074.74802463</v>
      </c>
      <c r="AP36" s="43" t="n">
        <f aca="false">Supuestos!$C$52*(1+Supuestos!$C$39)^(AP6-1)*(1+Supuestos!$C$48)+IF(Supuestos!$C$52*(1+Supuestos!$C$39)^(AP6-1)&lt;=2*Supuestos!$C$37*(1+Supuestos!$C$39)^(AP6-1),Supuestos!$C$38*(1+Supuestos!$C$39)^(AP6-1)*(1+Supuestos!$C$49),0)</f>
        <v>5144074.74802463</v>
      </c>
      <c r="AQ36" s="43" t="n">
        <f aca="false">Supuestos!$C$52*(1+Supuestos!$C$39)^(AQ6-1)*(1+Supuestos!$C$48)+IF(Supuestos!$C$52*(1+Supuestos!$C$39)^(AQ6-1)&lt;=2*Supuestos!$C$37*(1+Supuestos!$C$39)^(AQ6-1),Supuestos!$C$38*(1+Supuestos!$C$39)^(AQ6-1)*(1+Supuestos!$C$49),0)</f>
        <v>5144074.74802463</v>
      </c>
      <c r="AR36" s="43" t="n">
        <f aca="false">Supuestos!$C$52*(1+Supuestos!$C$39)^(AR6-1)*(1+Supuestos!$C$48)+IF(Supuestos!$C$52*(1+Supuestos!$C$39)^(AR6-1)&lt;=2*Supuestos!$C$37*(1+Supuestos!$C$39)^(AR6-1),Supuestos!$C$38*(1+Supuestos!$C$39)^(AR6-1)*(1+Supuestos!$C$49),0)</f>
        <v>5144074.74802463</v>
      </c>
      <c r="AS36" s="43" t="n">
        <f aca="false">Supuestos!$C$52*(1+Supuestos!$C$39)^(AS6-1)*(1+Supuestos!$C$48)+IF(Supuestos!$C$52*(1+Supuestos!$C$39)^(AS6-1)&lt;=2*Supuestos!$C$37*(1+Supuestos!$C$39)^(AS6-1),Supuestos!$C$38*(1+Supuestos!$C$39)^(AS6-1)*(1+Supuestos!$C$49),0)</f>
        <v>5144074.74802463</v>
      </c>
      <c r="AT36" s="43" t="n">
        <f aca="false">Supuestos!$C$52*(1+Supuestos!$C$39)^(AT6-1)*(1+Supuestos!$C$48)+IF(Supuestos!$C$52*(1+Supuestos!$C$39)^(AT6-1)&lt;=2*Supuestos!$C$37*(1+Supuestos!$C$39)^(AT6-1),Supuestos!$C$38*(1+Supuestos!$C$39)^(AT6-1)*(1+Supuestos!$C$49),0)</f>
        <v>5144074.74802463</v>
      </c>
      <c r="AU36" s="43" t="n">
        <f aca="false">Supuestos!$C$52*(1+Supuestos!$C$39)^(AU6-1)*(1+Supuestos!$C$48)+IF(Supuestos!$C$52*(1+Supuestos!$C$39)^(AU6-1)&lt;=2*Supuestos!$C$37*(1+Supuestos!$C$39)^(AU6-1),Supuestos!$C$38*(1+Supuestos!$C$39)^(AU6-1)*(1+Supuestos!$C$49),0)</f>
        <v>5144074.74802463</v>
      </c>
      <c r="AV36" s="43" t="n">
        <f aca="false">Supuestos!$C$52*(1+Supuestos!$C$39)^(AV6-1)*(1+Supuestos!$C$48)+IF(Supuestos!$C$52*(1+Supuestos!$C$39)^(AV6-1)&lt;=2*Supuestos!$C$37*(1+Supuestos!$C$39)^(AV6-1),Supuestos!$C$38*(1+Supuestos!$C$39)^(AV6-1)*(1+Supuestos!$C$49),0)</f>
        <v>5144074.74802463</v>
      </c>
      <c r="AW36" s="43" t="n">
        <f aca="false">Supuestos!$C$52*(1+Supuestos!$C$39)^(AW6-1)*(1+Supuestos!$C$48)+IF(Supuestos!$C$52*(1+Supuestos!$C$39)^(AW6-1)&lt;=2*Supuestos!$C$37*(1+Supuestos!$C$39)^(AW6-1),Supuestos!$C$38*(1+Supuestos!$C$39)^(AW6-1)*(1+Supuestos!$C$49),0)</f>
        <v>5144074.74802463</v>
      </c>
      <c r="AX36" s="43" t="n">
        <f aca="false">Supuestos!$C$52*(1+Supuestos!$C$39)^(AX6-1)*(1+Supuestos!$C$48)+IF(Supuestos!$C$52*(1+Supuestos!$C$39)^(AX6-1)&lt;=2*Supuestos!$C$37*(1+Supuestos!$C$39)^(AX6-1),Supuestos!$C$38*(1+Supuestos!$C$39)^(AX6-1)*(1+Supuestos!$C$49),0)</f>
        <v>5144074.74802463</v>
      </c>
      <c r="AY36" s="43" t="n">
        <f aca="false">Supuestos!$C$52*(1+Supuestos!$C$39)^(AY6-1)*(1+Supuestos!$C$48)+IF(Supuestos!$C$52*(1+Supuestos!$C$39)^(AY6-1)&lt;=2*Supuestos!$C$37*(1+Supuestos!$C$39)^(AY6-1),Supuestos!$C$38*(1+Supuestos!$C$39)^(AY6-1)*(1+Supuestos!$C$49),0)</f>
        <v>5401278.48542586</v>
      </c>
      <c r="AZ36" s="43" t="n">
        <f aca="false">Supuestos!$C$52*(1+Supuestos!$C$39)^(AZ6-1)*(1+Supuestos!$C$48)+IF(Supuestos!$C$52*(1+Supuestos!$C$39)^(AZ6-1)&lt;=2*Supuestos!$C$37*(1+Supuestos!$C$39)^(AZ6-1),Supuestos!$C$38*(1+Supuestos!$C$39)^(AZ6-1)*(1+Supuestos!$C$49),0)</f>
        <v>5401278.48542586</v>
      </c>
      <c r="BA36" s="43" t="n">
        <f aca="false">Supuestos!$C$52*(1+Supuestos!$C$39)^(BA6-1)*(1+Supuestos!$C$48)+IF(Supuestos!$C$52*(1+Supuestos!$C$39)^(BA6-1)&lt;=2*Supuestos!$C$37*(1+Supuestos!$C$39)^(BA6-1),Supuestos!$C$38*(1+Supuestos!$C$39)^(BA6-1)*(1+Supuestos!$C$49),0)</f>
        <v>5401278.48542586</v>
      </c>
      <c r="BB36" s="43" t="n">
        <f aca="false">Supuestos!$C$52*(1+Supuestos!$C$39)^(BB6-1)*(1+Supuestos!$C$48)+IF(Supuestos!$C$52*(1+Supuestos!$C$39)^(BB6-1)&lt;=2*Supuestos!$C$37*(1+Supuestos!$C$39)^(BB6-1),Supuestos!$C$38*(1+Supuestos!$C$39)^(BB6-1)*(1+Supuestos!$C$49),0)</f>
        <v>5401278.48542586</v>
      </c>
      <c r="BC36" s="43" t="n">
        <f aca="false">Supuestos!$C$52*(1+Supuestos!$C$39)^(BC6-1)*(1+Supuestos!$C$48)+IF(Supuestos!$C$52*(1+Supuestos!$C$39)^(BC6-1)&lt;=2*Supuestos!$C$37*(1+Supuestos!$C$39)^(BC6-1),Supuestos!$C$38*(1+Supuestos!$C$39)^(BC6-1)*(1+Supuestos!$C$49),0)</f>
        <v>5401278.48542586</v>
      </c>
      <c r="BD36" s="43" t="n">
        <f aca="false">Supuestos!$C$52*(1+Supuestos!$C$39)^(BD6-1)*(1+Supuestos!$C$48)+IF(Supuestos!$C$52*(1+Supuestos!$C$39)^(BD6-1)&lt;=2*Supuestos!$C$37*(1+Supuestos!$C$39)^(BD6-1),Supuestos!$C$38*(1+Supuestos!$C$39)^(BD6-1)*(1+Supuestos!$C$49),0)</f>
        <v>5401278.48542586</v>
      </c>
      <c r="BE36" s="43" t="n">
        <f aca="false">Supuestos!$C$52*(1+Supuestos!$C$39)^(BE6-1)*(1+Supuestos!$C$48)+IF(Supuestos!$C$52*(1+Supuestos!$C$39)^(BE6-1)&lt;=2*Supuestos!$C$37*(1+Supuestos!$C$39)^(BE6-1),Supuestos!$C$38*(1+Supuestos!$C$39)^(BE6-1)*(1+Supuestos!$C$49),0)</f>
        <v>5401278.48542586</v>
      </c>
      <c r="BF36" s="43" t="n">
        <f aca="false">Supuestos!$C$52*(1+Supuestos!$C$39)^(BF6-1)*(1+Supuestos!$C$48)+IF(Supuestos!$C$52*(1+Supuestos!$C$39)^(BF6-1)&lt;=2*Supuestos!$C$37*(1+Supuestos!$C$39)^(BF6-1),Supuestos!$C$38*(1+Supuestos!$C$39)^(BF6-1)*(1+Supuestos!$C$49),0)</f>
        <v>5401278.48542586</v>
      </c>
      <c r="BG36" s="43" t="n">
        <f aca="false">Supuestos!$C$52*(1+Supuestos!$C$39)^(BG6-1)*(1+Supuestos!$C$48)+IF(Supuestos!$C$52*(1+Supuestos!$C$39)^(BG6-1)&lt;=2*Supuestos!$C$37*(1+Supuestos!$C$39)^(BG6-1),Supuestos!$C$38*(1+Supuestos!$C$39)^(BG6-1)*(1+Supuestos!$C$49),0)</f>
        <v>5401278.48542586</v>
      </c>
      <c r="BH36" s="43" t="n">
        <f aca="false">Supuestos!$C$52*(1+Supuestos!$C$39)^(BH6-1)*(1+Supuestos!$C$48)+IF(Supuestos!$C$52*(1+Supuestos!$C$39)^(BH6-1)&lt;=2*Supuestos!$C$37*(1+Supuestos!$C$39)^(BH6-1),Supuestos!$C$38*(1+Supuestos!$C$39)^(BH6-1)*(1+Supuestos!$C$49),0)</f>
        <v>5401278.48542586</v>
      </c>
      <c r="BI36" s="43" t="n">
        <f aca="false">Supuestos!$C$52*(1+Supuestos!$C$39)^(BI6-1)*(1+Supuestos!$C$48)+IF(Supuestos!$C$52*(1+Supuestos!$C$39)^(BI6-1)&lt;=2*Supuestos!$C$37*(1+Supuestos!$C$39)^(BI6-1),Supuestos!$C$38*(1+Supuestos!$C$39)^(BI6-1)*(1+Supuestos!$C$49),0)</f>
        <v>5401278.48542586</v>
      </c>
      <c r="BJ36" s="43" t="n">
        <f aca="false">Supuestos!$C$52*(1+Supuestos!$C$39)^(BJ6-1)*(1+Supuestos!$C$48)+IF(Supuestos!$C$52*(1+Supuestos!$C$39)^(BJ6-1)&lt;=2*Supuestos!$C$37*(1+Supuestos!$C$39)^(BJ6-1),Supuestos!$C$38*(1+Supuestos!$C$39)^(BJ6-1)*(1+Supuestos!$C$49),0)</f>
        <v>5401278.48542586</v>
      </c>
    </row>
    <row r="37" customFormat="false" ht="15" hidden="false" customHeight="true" outlineLevel="0" collapsed="false">
      <c r="A37" s="10" t="s">
        <v>198</v>
      </c>
      <c r="B37" s="7" t="s">
        <v>146</v>
      </c>
      <c r="C37" s="43" t="n">
        <f aca="false">C35*C36</f>
        <v>0</v>
      </c>
      <c r="D37" s="43" t="n">
        <f aca="false">D35*D36</f>
        <v>0</v>
      </c>
      <c r="E37" s="43" t="n">
        <f aca="false">E35*E36</f>
        <v>0</v>
      </c>
      <c r="F37" s="43" t="n">
        <f aca="false">F35*F36</f>
        <v>0</v>
      </c>
      <c r="G37" s="43" t="n">
        <f aca="false">G35*G36</f>
        <v>0</v>
      </c>
      <c r="H37" s="43" t="n">
        <f aca="false">H35*H36</f>
        <v>0</v>
      </c>
      <c r="I37" s="43" t="n">
        <f aca="false">I35*I36</f>
        <v>0</v>
      </c>
      <c r="J37" s="43" t="n">
        <f aca="false">J35*J36</f>
        <v>0</v>
      </c>
      <c r="K37" s="43" t="n">
        <f aca="false">K35*K36</f>
        <v>0</v>
      </c>
      <c r="L37" s="43" t="n">
        <f aca="false">L35*L36</f>
        <v>0</v>
      </c>
      <c r="M37" s="43" t="n">
        <f aca="false">M35*M36</f>
        <v>0</v>
      </c>
      <c r="N37" s="43" t="n">
        <f aca="false">N35*N36</f>
        <v>0</v>
      </c>
      <c r="O37" s="43" t="n">
        <f aca="false">O35*O36</f>
        <v>0</v>
      </c>
      <c r="P37" s="43" t="n">
        <f aca="false">P35*P36</f>
        <v>0</v>
      </c>
      <c r="Q37" s="43" t="n">
        <f aca="false">Q35*Q36</f>
        <v>0</v>
      </c>
      <c r="R37" s="43" t="n">
        <f aca="false">R35*R36</f>
        <v>0</v>
      </c>
      <c r="S37" s="43" t="n">
        <f aca="false">S35*S36</f>
        <v>0</v>
      </c>
      <c r="T37" s="43" t="n">
        <f aca="false">T35*T36</f>
        <v>0</v>
      </c>
      <c r="U37" s="43" t="n">
        <f aca="false">U35*U36</f>
        <v>0</v>
      </c>
      <c r="V37" s="43" t="n">
        <f aca="false">V35*V36</f>
        <v>0</v>
      </c>
      <c r="W37" s="43" t="n">
        <f aca="false">W35*W36</f>
        <v>0</v>
      </c>
      <c r="X37" s="43" t="n">
        <f aca="false">X35*X36</f>
        <v>0</v>
      </c>
      <c r="Y37" s="43" t="n">
        <f aca="false">Y35*Y36</f>
        <v>0</v>
      </c>
      <c r="Z37" s="43" t="n">
        <f aca="false">Z35*Z36</f>
        <v>0</v>
      </c>
      <c r="AA37" s="43" t="n">
        <f aca="false">AA35*AA36</f>
        <v>14697356.4229275</v>
      </c>
      <c r="AB37" s="43" t="n">
        <f aca="false">AB35*AB36</f>
        <v>14697356.4229275</v>
      </c>
      <c r="AC37" s="43" t="n">
        <f aca="false">AC35*AC36</f>
        <v>14697356.4229275</v>
      </c>
      <c r="AD37" s="43" t="n">
        <f aca="false">AD35*AD36</f>
        <v>14697356.4229275</v>
      </c>
      <c r="AE37" s="43" t="n">
        <f aca="false">AE35*AE36</f>
        <v>14697356.4229275</v>
      </c>
      <c r="AF37" s="43" t="n">
        <f aca="false">AF35*AF36</f>
        <v>14697356.4229275</v>
      </c>
      <c r="AG37" s="43" t="n">
        <f aca="false">AG35*AG36</f>
        <v>14697356.4229275</v>
      </c>
      <c r="AH37" s="43" t="n">
        <f aca="false">AH35*AH36</f>
        <v>14697356.4229275</v>
      </c>
      <c r="AI37" s="43" t="n">
        <f aca="false">AI35*AI36</f>
        <v>14697356.4229275</v>
      </c>
      <c r="AJ37" s="43" t="n">
        <f aca="false">AJ35*AJ36</f>
        <v>14697356.4229275</v>
      </c>
      <c r="AK37" s="43" t="n">
        <f aca="false">AK35*AK36</f>
        <v>14697356.4229275</v>
      </c>
      <c r="AL37" s="43" t="n">
        <f aca="false">AL35*AL36</f>
        <v>14697356.4229275</v>
      </c>
      <c r="AM37" s="43" t="n">
        <f aca="false">AM35*AM36</f>
        <v>15432224.2440739</v>
      </c>
      <c r="AN37" s="43" t="n">
        <f aca="false">AN35*AN36</f>
        <v>15432224.2440739</v>
      </c>
      <c r="AO37" s="43" t="n">
        <f aca="false">AO35*AO36</f>
        <v>15432224.2440739</v>
      </c>
      <c r="AP37" s="43" t="n">
        <f aca="false">AP35*AP36</f>
        <v>15432224.2440739</v>
      </c>
      <c r="AQ37" s="43" t="n">
        <f aca="false">AQ35*AQ36</f>
        <v>15432224.2440739</v>
      </c>
      <c r="AR37" s="43" t="n">
        <f aca="false">AR35*AR36</f>
        <v>15432224.2440739</v>
      </c>
      <c r="AS37" s="43" t="n">
        <f aca="false">AS35*AS36</f>
        <v>15432224.2440739</v>
      </c>
      <c r="AT37" s="43" t="n">
        <f aca="false">AT35*AT36</f>
        <v>15432224.2440739</v>
      </c>
      <c r="AU37" s="43" t="n">
        <f aca="false">AU35*AU36</f>
        <v>15432224.2440739</v>
      </c>
      <c r="AV37" s="43" t="n">
        <f aca="false">AV35*AV36</f>
        <v>15432224.2440739</v>
      </c>
      <c r="AW37" s="43" t="n">
        <f aca="false">AW35*AW36</f>
        <v>15432224.2440739</v>
      </c>
      <c r="AX37" s="43" t="n">
        <f aca="false">AX35*AX36</f>
        <v>15432224.2440739</v>
      </c>
      <c r="AY37" s="43" t="n">
        <f aca="false">AY35*AY36</f>
        <v>16203835.4562776</v>
      </c>
      <c r="AZ37" s="43" t="n">
        <f aca="false">AZ35*AZ36</f>
        <v>16203835.4562776</v>
      </c>
      <c r="BA37" s="43" t="n">
        <f aca="false">BA35*BA36</f>
        <v>16203835.4562776</v>
      </c>
      <c r="BB37" s="43" t="n">
        <f aca="false">BB35*BB36</f>
        <v>16203835.4562776</v>
      </c>
      <c r="BC37" s="43" t="n">
        <f aca="false">BC35*BC36</f>
        <v>16203835.4562776</v>
      </c>
      <c r="BD37" s="43" t="n">
        <f aca="false">BD35*BD36</f>
        <v>16203835.4562776</v>
      </c>
      <c r="BE37" s="43" t="n">
        <f aca="false">BE35*BE36</f>
        <v>16203835.4562776</v>
      </c>
      <c r="BF37" s="43" t="n">
        <f aca="false">BF35*BF36</f>
        <v>16203835.4562776</v>
      </c>
      <c r="BG37" s="43" t="n">
        <f aca="false">BG35*BG36</f>
        <v>16203835.4562776</v>
      </c>
      <c r="BH37" s="43" t="n">
        <f aca="false">BH35*BH36</f>
        <v>16203835.4562776</v>
      </c>
      <c r="BI37" s="43" t="n">
        <f aca="false">BI35*BI36</f>
        <v>16203835.4562776</v>
      </c>
      <c r="BJ37" s="43" t="n">
        <f aca="false">BJ35*BJ36</f>
        <v>16203835.4562776</v>
      </c>
    </row>
    <row r="38" customFormat="false" ht="15" hidden="false" customHeight="true" outlineLevel="0" collapsed="false">
      <c r="A38" s="10" t="s">
        <v>262</v>
      </c>
      <c r="B38" s="7" t="s">
        <v>109</v>
      </c>
      <c r="C38" s="39" t="n">
        <f aca="false">Supuestos!$C$51+C32</f>
        <v>3</v>
      </c>
      <c r="D38" s="39" t="n">
        <f aca="false">Supuestos!$C$51+D32</f>
        <v>3</v>
      </c>
      <c r="E38" s="39" t="n">
        <f aca="false">Supuestos!$C$51+E32</f>
        <v>3</v>
      </c>
      <c r="F38" s="39" t="n">
        <f aca="false">Supuestos!$C$51+F32</f>
        <v>3</v>
      </c>
      <c r="G38" s="39" t="n">
        <f aca="false">Supuestos!$C$51+G32</f>
        <v>3</v>
      </c>
      <c r="H38" s="39" t="n">
        <f aca="false">Supuestos!$C$51+H32</f>
        <v>3</v>
      </c>
      <c r="I38" s="39" t="n">
        <f aca="false">Supuestos!$C$51+I32</f>
        <v>3</v>
      </c>
      <c r="J38" s="39" t="n">
        <f aca="false">Supuestos!$C$51+J32</f>
        <v>3</v>
      </c>
      <c r="K38" s="39" t="n">
        <f aca="false">Supuestos!$C$51+K32</f>
        <v>3</v>
      </c>
      <c r="L38" s="39" t="n">
        <f aca="false">Supuestos!$C$51+L32</f>
        <v>3</v>
      </c>
      <c r="M38" s="39" t="n">
        <f aca="false">Supuestos!$C$51+M32</f>
        <v>3</v>
      </c>
      <c r="N38" s="39" t="n">
        <f aca="false">Supuestos!$C$51+N32</f>
        <v>3</v>
      </c>
      <c r="O38" s="39" t="n">
        <f aca="false">Supuestos!$C$51+O32</f>
        <v>3</v>
      </c>
      <c r="P38" s="39" t="n">
        <f aca="false">Supuestos!$C$51+P32</f>
        <v>3</v>
      </c>
      <c r="Q38" s="39" t="n">
        <f aca="false">Supuestos!$C$51+Q32</f>
        <v>3</v>
      </c>
      <c r="R38" s="39" t="n">
        <f aca="false">Supuestos!$C$51+R32</f>
        <v>3</v>
      </c>
      <c r="S38" s="39" t="n">
        <f aca="false">Supuestos!$C$51+S32</f>
        <v>3</v>
      </c>
      <c r="T38" s="39" t="n">
        <f aca="false">Supuestos!$C$51+T32</f>
        <v>3</v>
      </c>
      <c r="U38" s="39" t="n">
        <f aca="false">Supuestos!$C$51+U32</f>
        <v>3</v>
      </c>
      <c r="V38" s="39" t="n">
        <f aca="false">Supuestos!$C$51+V32</f>
        <v>3</v>
      </c>
      <c r="W38" s="39" t="n">
        <f aca="false">Supuestos!$C$51+W32</f>
        <v>3</v>
      </c>
      <c r="X38" s="39" t="n">
        <f aca="false">Supuestos!$C$51+X32</f>
        <v>3</v>
      </c>
      <c r="Y38" s="39" t="n">
        <f aca="false">Supuestos!$C$51+Y32</f>
        <v>3</v>
      </c>
      <c r="Z38" s="39" t="n">
        <f aca="false">Supuestos!$C$51+Z32</f>
        <v>3</v>
      </c>
      <c r="AA38" s="39" t="n">
        <f aca="false">Supuestos!$C$51+AA32</f>
        <v>3</v>
      </c>
      <c r="AB38" s="39" t="n">
        <f aca="false">Supuestos!$C$51+AB32</f>
        <v>3</v>
      </c>
      <c r="AC38" s="39" t="n">
        <f aca="false">Supuestos!$C$51+AC32</f>
        <v>3</v>
      </c>
      <c r="AD38" s="39" t="n">
        <f aca="false">Supuestos!$C$51+AD32</f>
        <v>3</v>
      </c>
      <c r="AE38" s="39" t="n">
        <f aca="false">Supuestos!$C$51+AE32</f>
        <v>3</v>
      </c>
      <c r="AF38" s="39" t="n">
        <f aca="false">Supuestos!$C$51+AF32</f>
        <v>3</v>
      </c>
      <c r="AG38" s="39" t="n">
        <f aca="false">Supuestos!$C$51+AG32</f>
        <v>4</v>
      </c>
      <c r="AH38" s="39" t="n">
        <f aca="false">Supuestos!$C$51+AH32</f>
        <v>4</v>
      </c>
      <c r="AI38" s="39" t="n">
        <f aca="false">Supuestos!$C$51+AI32</f>
        <v>4</v>
      </c>
      <c r="AJ38" s="39" t="n">
        <f aca="false">Supuestos!$C$51+AJ32</f>
        <v>4</v>
      </c>
      <c r="AK38" s="39" t="n">
        <f aca="false">Supuestos!$C$51+AK32</f>
        <v>4</v>
      </c>
      <c r="AL38" s="39" t="n">
        <f aca="false">Supuestos!$C$51+AL32</f>
        <v>4</v>
      </c>
      <c r="AM38" s="39" t="n">
        <f aca="false">Supuestos!$C$51+AM32</f>
        <v>4</v>
      </c>
      <c r="AN38" s="39" t="n">
        <f aca="false">Supuestos!$C$51+AN32</f>
        <v>4</v>
      </c>
      <c r="AO38" s="39" t="n">
        <f aca="false">Supuestos!$C$51+AO32</f>
        <v>4</v>
      </c>
      <c r="AP38" s="39" t="n">
        <f aca="false">Supuestos!$C$51+AP32</f>
        <v>4</v>
      </c>
      <c r="AQ38" s="39" t="n">
        <f aca="false">Supuestos!$C$51+AQ32</f>
        <v>4</v>
      </c>
      <c r="AR38" s="39" t="n">
        <f aca="false">Supuestos!$C$51+AR32</f>
        <v>4</v>
      </c>
      <c r="AS38" s="39" t="n">
        <f aca="false">Supuestos!$C$51+AS32</f>
        <v>5</v>
      </c>
      <c r="AT38" s="39" t="n">
        <f aca="false">Supuestos!$C$51+AT32</f>
        <v>5</v>
      </c>
      <c r="AU38" s="39" t="n">
        <f aca="false">Supuestos!$C$51+AU32</f>
        <v>5</v>
      </c>
      <c r="AV38" s="39" t="n">
        <f aca="false">Supuestos!$C$51+AV32</f>
        <v>5</v>
      </c>
      <c r="AW38" s="39" t="n">
        <f aca="false">Supuestos!$C$51+AW32</f>
        <v>5</v>
      </c>
      <c r="AX38" s="39" t="n">
        <f aca="false">Supuestos!$C$51+AX32</f>
        <v>5</v>
      </c>
      <c r="AY38" s="39" t="n">
        <f aca="false">Supuestos!$C$51+AY32</f>
        <v>5</v>
      </c>
      <c r="AZ38" s="39" t="n">
        <f aca="false">Supuestos!$C$51+AZ32</f>
        <v>5</v>
      </c>
      <c r="BA38" s="39" t="n">
        <f aca="false">Supuestos!$C$51+BA32</f>
        <v>5</v>
      </c>
      <c r="BB38" s="39" t="n">
        <f aca="false">Supuestos!$C$51+BB32</f>
        <v>5</v>
      </c>
      <c r="BC38" s="39" t="n">
        <f aca="false">Supuestos!$C$51+BC32</f>
        <v>5</v>
      </c>
      <c r="BD38" s="39" t="n">
        <f aca="false">Supuestos!$C$51+BD32</f>
        <v>6</v>
      </c>
      <c r="BE38" s="39" t="n">
        <f aca="false">Supuestos!$C$51+BE32</f>
        <v>6</v>
      </c>
      <c r="BF38" s="39" t="n">
        <f aca="false">Supuestos!$C$51+BF32</f>
        <v>6</v>
      </c>
      <c r="BG38" s="39" t="n">
        <f aca="false">Supuestos!$C$51+BG32</f>
        <v>6</v>
      </c>
      <c r="BH38" s="39" t="n">
        <f aca="false">Supuestos!$C$51+BH32</f>
        <v>6</v>
      </c>
      <c r="BI38" s="39" t="n">
        <f aca="false">Supuestos!$C$51+BI32</f>
        <v>6</v>
      </c>
      <c r="BJ38" s="39" t="n">
        <f aca="false">Supuestos!$C$51+BJ32</f>
        <v>6</v>
      </c>
    </row>
    <row r="40" customFormat="false" ht="15" hidden="false" customHeight="true" outlineLevel="0" collapsed="false">
      <c r="A40" s="28" t="s">
        <v>263</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row>
    <row r="41" customFormat="false" ht="15" hidden="false" customHeight="true" outlineLevel="0" collapsed="false">
      <c r="A41" s="10" t="s">
        <v>264</v>
      </c>
      <c r="B41" s="7" t="s">
        <v>146</v>
      </c>
      <c r="C41" s="43" t="n">
        <f aca="false">C34+C37</f>
        <v>0</v>
      </c>
      <c r="D41" s="43" t="n">
        <f aca="false">D34+D37</f>
        <v>0</v>
      </c>
      <c r="E41" s="43" t="n">
        <f aca="false">E34+E37</f>
        <v>0</v>
      </c>
      <c r="F41" s="43" t="n">
        <f aca="false">F34+F37</f>
        <v>0</v>
      </c>
      <c r="G41" s="43" t="n">
        <f aca="false">G34+G37</f>
        <v>0</v>
      </c>
      <c r="H41" s="43" t="n">
        <f aca="false">H34+H37</f>
        <v>0</v>
      </c>
      <c r="I41" s="43" t="n">
        <f aca="false">I34+I37</f>
        <v>0</v>
      </c>
      <c r="J41" s="43" t="n">
        <f aca="false">J34+J37</f>
        <v>0</v>
      </c>
      <c r="K41" s="43" t="n">
        <f aca="false">K34+K37</f>
        <v>0</v>
      </c>
      <c r="L41" s="43" t="n">
        <f aca="false">L34+L37</f>
        <v>0</v>
      </c>
      <c r="M41" s="43" t="n">
        <f aca="false">M34+M37</f>
        <v>0</v>
      </c>
      <c r="N41" s="43" t="n">
        <f aca="false">N34+N37</f>
        <v>0</v>
      </c>
      <c r="O41" s="43" t="n">
        <f aca="false">O34+O37</f>
        <v>0</v>
      </c>
      <c r="P41" s="43" t="n">
        <f aca="false">P34+P37</f>
        <v>0</v>
      </c>
      <c r="Q41" s="43" t="n">
        <f aca="false">Q34+Q37</f>
        <v>0</v>
      </c>
      <c r="R41" s="43" t="n">
        <f aca="false">R34+R37</f>
        <v>0</v>
      </c>
      <c r="S41" s="43" t="n">
        <f aca="false">S34+S37</f>
        <v>0</v>
      </c>
      <c r="T41" s="43" t="n">
        <f aca="false">T34+T37</f>
        <v>0</v>
      </c>
      <c r="U41" s="43" t="n">
        <f aca="false">U34+U37</f>
        <v>0</v>
      </c>
      <c r="V41" s="43" t="n">
        <f aca="false">V34+V37</f>
        <v>0</v>
      </c>
      <c r="W41" s="43" t="n">
        <f aca="false">W34+W37</f>
        <v>0</v>
      </c>
      <c r="X41" s="43" t="n">
        <f aca="false">X34+X37</f>
        <v>0</v>
      </c>
      <c r="Y41" s="43" t="n">
        <f aca="false">Y34+Y37</f>
        <v>0</v>
      </c>
      <c r="Z41" s="43" t="n">
        <f aca="false">Z34+Z37</f>
        <v>0</v>
      </c>
      <c r="AA41" s="43" t="n">
        <f aca="false">AA34+AA37</f>
        <v>14697356.4229275</v>
      </c>
      <c r="AB41" s="43" t="n">
        <f aca="false">AB34+AB37</f>
        <v>14697356.4229275</v>
      </c>
      <c r="AC41" s="43" t="n">
        <f aca="false">AC34+AC37</f>
        <v>14697356.4229275</v>
      </c>
      <c r="AD41" s="43" t="n">
        <f aca="false">AD34+AD37</f>
        <v>14697356.4229275</v>
      </c>
      <c r="AE41" s="43" t="n">
        <f aca="false">AE34+AE37</f>
        <v>14697356.4229275</v>
      </c>
      <c r="AF41" s="43" t="n">
        <f aca="false">AF34+AF37</f>
        <v>14697356.4229275</v>
      </c>
      <c r="AG41" s="43" t="n">
        <f aca="false">AG34+AG37</f>
        <v>18071144.43057</v>
      </c>
      <c r="AH41" s="43" t="n">
        <f aca="false">AH34+AH37</f>
        <v>18071144.43057</v>
      </c>
      <c r="AI41" s="43" t="n">
        <f aca="false">AI34+AI37</f>
        <v>18071144.43057</v>
      </c>
      <c r="AJ41" s="43" t="n">
        <f aca="false">AJ34+AJ37</f>
        <v>18071144.43057</v>
      </c>
      <c r="AK41" s="43" t="n">
        <f aca="false">AK34+AK37</f>
        <v>18071144.43057</v>
      </c>
      <c r="AL41" s="43" t="n">
        <f aca="false">AL34+AL37</f>
        <v>18071144.43057</v>
      </c>
      <c r="AM41" s="43" t="n">
        <f aca="false">AM34+AM37</f>
        <v>18974701.6520985</v>
      </c>
      <c r="AN41" s="43" t="n">
        <f aca="false">AN34+AN37</f>
        <v>18974701.6520985</v>
      </c>
      <c r="AO41" s="43" t="n">
        <f aca="false">AO34+AO37</f>
        <v>18974701.6520985</v>
      </c>
      <c r="AP41" s="43" t="n">
        <f aca="false">AP34+AP37</f>
        <v>18974701.6520985</v>
      </c>
      <c r="AQ41" s="43" t="n">
        <f aca="false">AQ34+AQ37</f>
        <v>18974701.6520985</v>
      </c>
      <c r="AR41" s="43" t="n">
        <f aca="false">AR34+AR37</f>
        <v>18974701.6520985</v>
      </c>
      <c r="AS41" s="43" t="n">
        <f aca="false">AS34+AS37</f>
        <v>22517179.0601231</v>
      </c>
      <c r="AT41" s="43" t="n">
        <f aca="false">AT34+AT37</f>
        <v>22517179.0601231</v>
      </c>
      <c r="AU41" s="43" t="n">
        <f aca="false">AU34+AU37</f>
        <v>22517179.0601231</v>
      </c>
      <c r="AV41" s="43" t="n">
        <f aca="false">AV34+AV37</f>
        <v>22517179.0601231</v>
      </c>
      <c r="AW41" s="43" t="n">
        <f aca="false">AW34+AW37</f>
        <v>22517179.0601231</v>
      </c>
      <c r="AX41" s="43" t="n">
        <f aca="false">AX34+AX37</f>
        <v>22517179.0601231</v>
      </c>
      <c r="AY41" s="43" t="n">
        <f aca="false">AY34+AY37</f>
        <v>23643038.0131293</v>
      </c>
      <c r="AZ41" s="43" t="n">
        <f aca="false">AZ34+AZ37</f>
        <v>23643038.0131293</v>
      </c>
      <c r="BA41" s="43" t="n">
        <f aca="false">BA34+BA37</f>
        <v>23643038.0131293</v>
      </c>
      <c r="BB41" s="43" t="n">
        <f aca="false">BB34+BB37</f>
        <v>23643038.0131293</v>
      </c>
      <c r="BC41" s="43" t="n">
        <f aca="false">BC34+BC37</f>
        <v>23643038.0131293</v>
      </c>
      <c r="BD41" s="43" t="n">
        <f aca="false">BD34+BD37</f>
        <v>27362639.2915551</v>
      </c>
      <c r="BE41" s="43" t="n">
        <f aca="false">BE34+BE37</f>
        <v>27362639.2915551</v>
      </c>
      <c r="BF41" s="43" t="n">
        <f aca="false">BF34+BF37</f>
        <v>27362639.2915551</v>
      </c>
      <c r="BG41" s="43" t="n">
        <f aca="false">BG34+BG37</f>
        <v>27362639.2915551</v>
      </c>
      <c r="BH41" s="43" t="n">
        <f aca="false">BH34+BH37</f>
        <v>27362639.2915551</v>
      </c>
      <c r="BI41" s="43" t="n">
        <f aca="false">BI34+BI37</f>
        <v>27362639.2915551</v>
      </c>
      <c r="BJ41" s="43" t="n">
        <f aca="false">BJ34+BJ37</f>
        <v>27362639.2915551</v>
      </c>
    </row>
    <row r="42" customFormat="false" ht="15" hidden="false" customHeight="true" outlineLevel="0" collapsed="false">
      <c r="A42" s="10" t="s">
        <v>265</v>
      </c>
      <c r="B42" s="7" t="s">
        <v>146</v>
      </c>
      <c r="C42" s="43" t="n">
        <f aca="false">C13*INDEX(Supuestos!$C$17:$E$17,1,$B$2)*(1+Supuestos!$C$39)^(C6-1)</f>
        <v>649740</v>
      </c>
      <c r="D42" s="43" t="n">
        <f aca="false">D13*INDEX(Supuestos!$C$17:$E$17,1,$B$2)*(1+Supuestos!$C$39)^(D6-1)</f>
        <v>344752.2</v>
      </c>
      <c r="E42" s="43" t="n">
        <f aca="false">E13*INDEX(Supuestos!$C$17:$E$17,1,$B$2)*(1+Supuestos!$C$39)^(E6-1)</f>
        <v>678990</v>
      </c>
      <c r="F42" s="43" t="n">
        <f aca="false">F13*INDEX(Supuestos!$C$17:$E$17,1,$B$2)*(1+Supuestos!$C$39)^(F6-1)</f>
        <v>699262.2</v>
      </c>
      <c r="G42" s="43" t="n">
        <f aca="false">G13*INDEX(Supuestos!$C$17:$E$17,1,$B$2)*(1+Supuestos!$C$39)^(G6-1)</f>
        <v>717997.8</v>
      </c>
      <c r="H42" s="43" t="n">
        <f aca="false">H13*INDEX(Supuestos!$C$17:$E$17,1,$B$2)*(1+Supuestos!$C$39)^(H6-1)</f>
        <v>737490</v>
      </c>
      <c r="I42" s="43" t="n">
        <f aca="false">I13*INDEX(Supuestos!$C$17:$E$17,1,$B$2)*(1+Supuestos!$C$39)^(I6-1)</f>
        <v>757762.2</v>
      </c>
      <c r="J42" s="43" t="n">
        <f aca="false">J13*INDEX(Supuestos!$C$17:$E$17,1,$B$2)*(1+Supuestos!$C$39)^(J6-1)</f>
        <v>1101757.8</v>
      </c>
      <c r="K42" s="43" t="n">
        <f aca="false">K13*INDEX(Supuestos!$C$17:$E$17,1,$B$2)*(1+Supuestos!$C$39)^(K6-1)</f>
        <v>805747.800000001</v>
      </c>
      <c r="L42" s="43" t="n">
        <f aca="false">L13*INDEX(Supuestos!$C$17:$E$17,1,$B$2)*(1+Supuestos!$C$39)^(L6-1)</f>
        <v>825240.000000001</v>
      </c>
      <c r="M42" s="43" t="n">
        <f aca="false">M13*INDEX(Supuestos!$C$17:$E$17,1,$B$2)*(1+Supuestos!$C$39)^(M6-1)</f>
        <v>845512.199999999</v>
      </c>
      <c r="N42" s="43" t="n">
        <f aca="false">N13*INDEX(Supuestos!$C$17:$E$17,1,$B$2)*(1+Supuestos!$C$39)^(N6-1)</f>
        <v>864247.8</v>
      </c>
      <c r="O42" s="43" t="n">
        <f aca="false">O13*INDEX(Supuestos!$C$17:$E$17,1,$B$2)*(1+Supuestos!$C$39)^(O6-1)</f>
        <v>1269450</v>
      </c>
      <c r="P42" s="43" t="n">
        <f aca="false">P13*INDEX(Supuestos!$C$17:$E$17,1,$B$2)*(1+Supuestos!$C$39)^(P6-1)</f>
        <v>1300162.5</v>
      </c>
      <c r="Q42" s="43" t="n">
        <f aca="false">Q13*INDEX(Supuestos!$C$17:$E$17,1,$B$2)*(1+Supuestos!$C$39)^(Q6-1)</f>
        <v>1330875</v>
      </c>
      <c r="R42" s="43" t="n">
        <f aca="false">R13*INDEX(Supuestos!$C$17:$E$17,1,$B$2)*(1+Supuestos!$C$39)^(R6-1)</f>
        <v>1361587.5</v>
      </c>
      <c r="S42" s="43" t="n">
        <f aca="false">S13*INDEX(Supuestos!$C$17:$E$17,1,$B$2)*(1+Supuestos!$C$39)^(S6-1)</f>
        <v>1392300</v>
      </c>
      <c r="T42" s="43" t="n">
        <f aca="false">T13*INDEX(Supuestos!$C$17:$E$17,1,$B$2)*(1+Supuestos!$C$39)^(T6-1)</f>
        <v>1423012.5</v>
      </c>
      <c r="U42" s="43" t="n">
        <f aca="false">U13*INDEX(Supuestos!$C$17:$E$17,1,$B$2)*(1+Supuestos!$C$39)^(U6-1)</f>
        <v>1453725</v>
      </c>
      <c r="V42" s="43" t="n">
        <f aca="false">V13*INDEX(Supuestos!$C$17:$E$17,1,$B$2)*(1+Supuestos!$C$39)^(V6-1)</f>
        <v>1484437.5</v>
      </c>
      <c r="W42" s="43" t="n">
        <f aca="false">W13*INDEX(Supuestos!$C$17:$E$17,1,$B$2)*(1+Supuestos!$C$39)^(W6-1)</f>
        <v>1515150</v>
      </c>
      <c r="X42" s="43" t="n">
        <f aca="false">X13*INDEX(Supuestos!$C$17:$E$17,1,$B$2)*(1+Supuestos!$C$39)^(X6-1)</f>
        <v>1545862.5</v>
      </c>
      <c r="Y42" s="43" t="n">
        <f aca="false">Y13*INDEX(Supuestos!$C$17:$E$17,1,$B$2)*(1+Supuestos!$C$39)^(Y6-1)</f>
        <v>1576575</v>
      </c>
      <c r="Z42" s="43" t="n">
        <f aca="false">Z13*INDEX(Supuestos!$C$17:$E$17,1,$B$2)*(1+Supuestos!$C$39)^(Z6-1)</f>
        <v>1607287.5</v>
      </c>
      <c r="AA42" s="43" t="n">
        <f aca="false">AA13*INDEX(Supuestos!$C$17:$E$17,1,$B$2)*(1+Supuestos!$C$39)^(AA6-1)</f>
        <v>2436525</v>
      </c>
      <c r="AB42" s="43" t="n">
        <f aca="false">AB13*INDEX(Supuestos!$C$17:$E$17,1,$B$2)*(1+Supuestos!$C$39)^(AB6-1)</f>
        <v>2490271.875</v>
      </c>
      <c r="AC42" s="43" t="n">
        <f aca="false">AC13*INDEX(Supuestos!$C$17:$E$17,1,$B$2)*(1+Supuestos!$C$39)^(AC6-1)</f>
        <v>2544018.75</v>
      </c>
      <c r="AD42" s="43" t="n">
        <f aca="false">AD13*INDEX(Supuestos!$C$17:$E$17,1,$B$2)*(1+Supuestos!$C$39)^(AD6-1)</f>
        <v>2597765.625</v>
      </c>
      <c r="AE42" s="43" t="n">
        <f aca="false">AE13*INDEX(Supuestos!$C$17:$E$17,1,$B$2)*(1+Supuestos!$C$39)^(AE6-1)</f>
        <v>2651512.5</v>
      </c>
      <c r="AF42" s="43" t="n">
        <f aca="false">AF13*INDEX(Supuestos!$C$17:$E$17,1,$B$2)*(1+Supuestos!$C$39)^(AF6-1)</f>
        <v>2705259.375</v>
      </c>
      <c r="AG42" s="43" t="n">
        <f aca="false">AG13*INDEX(Supuestos!$C$17:$E$17,1,$B$2)*(1+Supuestos!$C$39)^(AG6-1)</f>
        <v>2759006.25</v>
      </c>
      <c r="AH42" s="43" t="n">
        <f aca="false">AH13*INDEX(Supuestos!$C$17:$E$17,1,$B$2)*(1+Supuestos!$C$39)^(AH6-1)</f>
        <v>2812753.125</v>
      </c>
      <c r="AI42" s="43" t="n">
        <f aca="false">AI13*INDEX(Supuestos!$C$17:$E$17,1,$B$2)*(1+Supuestos!$C$39)^(AI6-1)</f>
        <v>2866500</v>
      </c>
      <c r="AJ42" s="43" t="n">
        <f aca="false">AJ13*INDEX(Supuestos!$C$17:$E$17,1,$B$2)*(1+Supuestos!$C$39)^(AJ6-1)</f>
        <v>2920246.875</v>
      </c>
      <c r="AK42" s="43" t="n">
        <f aca="false">AK13*INDEX(Supuestos!$C$17:$E$17,1,$B$2)*(1+Supuestos!$C$39)^(AK6-1)</f>
        <v>2973993.75</v>
      </c>
      <c r="AL42" s="43" t="n">
        <f aca="false">AL13*INDEX(Supuestos!$C$17:$E$17,1,$B$2)*(1+Supuestos!$C$39)^(AL6-1)</f>
        <v>3027740.625</v>
      </c>
      <c r="AM42" s="43" t="n">
        <f aca="false">AM13*INDEX(Supuestos!$C$17:$E$17,1,$B$2)*(1+Supuestos!$C$39)^(AM6-1)</f>
        <v>3235561.875</v>
      </c>
      <c r="AN42" s="43" t="n">
        <f aca="false">AN13*INDEX(Supuestos!$C$17:$E$17,1,$B$2)*(1+Supuestos!$C$39)^(AN6-1)</f>
        <v>3291996.09375</v>
      </c>
      <c r="AO42" s="43" t="n">
        <f aca="false">AO13*INDEX(Supuestos!$C$17:$E$17,1,$B$2)*(1+Supuestos!$C$39)^(AO6-1)</f>
        <v>3348430.3125</v>
      </c>
      <c r="AP42" s="43" t="n">
        <f aca="false">AP13*INDEX(Supuestos!$C$17:$E$17,1,$B$2)*(1+Supuestos!$C$39)^(AP6-1)</f>
        <v>3404864.53125</v>
      </c>
      <c r="AQ42" s="43" t="n">
        <f aca="false">AQ13*INDEX(Supuestos!$C$17:$E$17,1,$B$2)*(1+Supuestos!$C$39)^(AQ6-1)</f>
        <v>3461298.75</v>
      </c>
      <c r="AR42" s="43" t="n">
        <f aca="false">AR13*INDEX(Supuestos!$C$17:$E$17,1,$B$2)*(1+Supuestos!$C$39)^(AR6-1)</f>
        <v>3517732.96875</v>
      </c>
      <c r="AS42" s="43" t="n">
        <f aca="false">AS13*INDEX(Supuestos!$C$17:$E$17,1,$B$2)*(1+Supuestos!$C$39)^(AS6-1)</f>
        <v>3574167.1875</v>
      </c>
      <c r="AT42" s="43" t="n">
        <f aca="false">AT13*INDEX(Supuestos!$C$17:$E$17,1,$B$2)*(1+Supuestos!$C$39)^(AT6-1)</f>
        <v>3630601.40625</v>
      </c>
      <c r="AU42" s="43" t="n">
        <f aca="false">AU13*INDEX(Supuestos!$C$17:$E$17,1,$B$2)*(1+Supuestos!$C$39)^(AU6-1)</f>
        <v>3687035.625</v>
      </c>
      <c r="AV42" s="43" t="n">
        <f aca="false">AV13*INDEX(Supuestos!$C$17:$E$17,1,$B$2)*(1+Supuestos!$C$39)^(AV6-1)</f>
        <v>3743469.84375</v>
      </c>
      <c r="AW42" s="43" t="n">
        <f aca="false">AW13*INDEX(Supuestos!$C$17:$E$17,1,$B$2)*(1+Supuestos!$C$39)^(AW6-1)</f>
        <v>3799904.0625</v>
      </c>
      <c r="AX42" s="43" t="n">
        <f aca="false">AX13*INDEX(Supuestos!$C$17:$E$17,1,$B$2)*(1+Supuestos!$C$39)^(AX6-1)</f>
        <v>3856338.28125</v>
      </c>
      <c r="AY42" s="43" t="n">
        <f aca="false">AY13*INDEX(Supuestos!$C$17:$E$17,1,$B$2)*(1+Supuestos!$C$39)^(AY6-1)</f>
        <v>4108411.125</v>
      </c>
      <c r="AZ42" s="43" t="n">
        <f aca="false">AZ13*INDEX(Supuestos!$C$17:$E$17,1,$B$2)*(1+Supuestos!$C$39)^(AZ6-1)</f>
        <v>4167667.0546875</v>
      </c>
      <c r="BA42" s="43" t="n">
        <f aca="false">BA13*INDEX(Supuestos!$C$17:$E$17,1,$B$2)*(1+Supuestos!$C$39)^(BA6-1)</f>
        <v>4226922.984375</v>
      </c>
      <c r="BB42" s="43" t="n">
        <f aca="false">BB13*INDEX(Supuestos!$C$17:$E$17,1,$B$2)*(1+Supuestos!$C$39)^(BB6-1)</f>
        <v>4286178.9140625</v>
      </c>
      <c r="BC42" s="43" t="n">
        <f aca="false">BC13*INDEX(Supuestos!$C$17:$E$17,1,$B$2)*(1+Supuestos!$C$39)^(BC6-1)</f>
        <v>4345434.84375</v>
      </c>
      <c r="BD42" s="43" t="n">
        <f aca="false">BD13*INDEX(Supuestos!$C$17:$E$17,1,$B$2)*(1+Supuestos!$C$39)^(BD6-1)</f>
        <v>4404690.7734375</v>
      </c>
      <c r="BE42" s="43" t="n">
        <f aca="false">BE13*INDEX(Supuestos!$C$17:$E$17,1,$B$2)*(1+Supuestos!$C$39)^(BE6-1)</f>
        <v>4463946.703125</v>
      </c>
      <c r="BF42" s="43" t="n">
        <f aca="false">BF13*INDEX(Supuestos!$C$17:$E$17,1,$B$2)*(1+Supuestos!$C$39)^(BF6-1)</f>
        <v>4523202.6328125</v>
      </c>
      <c r="BG42" s="43" t="n">
        <f aca="false">BG13*INDEX(Supuestos!$C$17:$E$17,1,$B$2)*(1+Supuestos!$C$39)^(BG6-1)</f>
        <v>4582458.5625</v>
      </c>
      <c r="BH42" s="43" t="n">
        <f aca="false">BH13*INDEX(Supuestos!$C$17:$E$17,1,$B$2)*(1+Supuestos!$C$39)^(BH6-1)</f>
        <v>4641714.4921875</v>
      </c>
      <c r="BI42" s="43" t="n">
        <f aca="false">BI13*INDEX(Supuestos!$C$17:$E$17,1,$B$2)*(1+Supuestos!$C$39)^(BI6-1)</f>
        <v>4700970.421875</v>
      </c>
      <c r="BJ42" s="43" t="n">
        <f aca="false">BJ13*INDEX(Supuestos!$C$17:$E$17,1,$B$2)*(1+Supuestos!$C$39)^(BJ6-1)</f>
        <v>4760226.3515625</v>
      </c>
    </row>
    <row r="43" customFormat="false" ht="15" hidden="false" customHeight="true" outlineLevel="0" collapsed="false">
      <c r="A43" s="10" t="s">
        <v>133</v>
      </c>
      <c r="B43" s="7" t="s">
        <v>146</v>
      </c>
      <c r="C43" s="43" t="n">
        <f aca="false">IF(C5&gt;=Supuestos!$C$65,Supuestos!$C$64*(1+Supuestos!$C$39)^(C6-1),0)</f>
        <v>0</v>
      </c>
      <c r="D43" s="43" t="n">
        <f aca="false">IF(D5&gt;=Supuestos!$C$65,Supuestos!$C$64*(1+Supuestos!$C$39)^(D6-1),0)</f>
        <v>0</v>
      </c>
      <c r="E43" s="43" t="n">
        <f aca="false">IF(E5&gt;=Supuestos!$C$65,Supuestos!$C$64*(1+Supuestos!$C$39)^(E6-1),0)</f>
        <v>0</v>
      </c>
      <c r="F43" s="43" t="n">
        <f aca="false">IF(F5&gt;=Supuestos!$C$65,Supuestos!$C$64*(1+Supuestos!$C$39)^(F6-1),0)</f>
        <v>0</v>
      </c>
      <c r="G43" s="43" t="n">
        <f aca="false">IF(G5&gt;=Supuestos!$C$65,Supuestos!$C$64*(1+Supuestos!$C$39)^(G6-1),0)</f>
        <v>0</v>
      </c>
      <c r="H43" s="43" t="n">
        <f aca="false">IF(H5&gt;=Supuestos!$C$65,Supuestos!$C$64*(1+Supuestos!$C$39)^(H6-1),0)</f>
        <v>0</v>
      </c>
      <c r="I43" s="43" t="n">
        <f aca="false">IF(I5&gt;=Supuestos!$C$65,Supuestos!$C$64*(1+Supuestos!$C$39)^(I6-1),0)</f>
        <v>0</v>
      </c>
      <c r="J43" s="43" t="n">
        <f aca="false">IF(J5&gt;=Supuestos!$C$65,Supuestos!$C$64*(1+Supuestos!$C$39)^(J6-1),0)</f>
        <v>0</v>
      </c>
      <c r="K43" s="43" t="n">
        <f aca="false">IF(K5&gt;=Supuestos!$C$65,Supuestos!$C$64*(1+Supuestos!$C$39)^(K6-1),0)</f>
        <v>0</v>
      </c>
      <c r="L43" s="43" t="n">
        <f aca="false">IF(L5&gt;=Supuestos!$C$65,Supuestos!$C$64*(1+Supuestos!$C$39)^(L6-1),0)</f>
        <v>0</v>
      </c>
      <c r="M43" s="43" t="n">
        <f aca="false">IF(M5&gt;=Supuestos!$C$65,Supuestos!$C$64*(1+Supuestos!$C$39)^(M6-1),0)</f>
        <v>0</v>
      </c>
      <c r="N43" s="43" t="n">
        <f aca="false">IF(N5&gt;=Supuestos!$C$65,Supuestos!$C$64*(1+Supuestos!$C$39)^(N6-1),0)</f>
        <v>0</v>
      </c>
      <c r="O43" s="43" t="n">
        <f aca="false">IF(O5&gt;=Supuestos!$C$65,Supuestos!$C$64*(1+Supuestos!$C$39)^(O6-1),0)</f>
        <v>0</v>
      </c>
      <c r="P43" s="43" t="n">
        <f aca="false">IF(P5&gt;=Supuestos!$C$65,Supuestos!$C$64*(1+Supuestos!$C$39)^(P6-1),0)</f>
        <v>0</v>
      </c>
      <c r="Q43" s="43" t="n">
        <f aca="false">IF(Q5&gt;=Supuestos!$C$65,Supuestos!$C$64*(1+Supuestos!$C$39)^(Q6-1),0)</f>
        <v>0</v>
      </c>
      <c r="R43" s="43" t="n">
        <f aca="false">IF(R5&gt;=Supuestos!$C$65,Supuestos!$C$64*(1+Supuestos!$C$39)^(R6-1),0)</f>
        <v>0</v>
      </c>
      <c r="S43" s="43" t="n">
        <f aca="false">IF(S5&gt;=Supuestos!$C$65,Supuestos!$C$64*(1+Supuestos!$C$39)^(S6-1),0)</f>
        <v>0</v>
      </c>
      <c r="T43" s="43" t="n">
        <f aca="false">IF(T5&gt;=Supuestos!$C$65,Supuestos!$C$64*(1+Supuestos!$C$39)^(T6-1),0)</f>
        <v>0</v>
      </c>
      <c r="U43" s="43" t="n">
        <f aca="false">IF(U5&gt;=Supuestos!$C$65,Supuestos!$C$64*(1+Supuestos!$C$39)^(U6-1),0)</f>
        <v>0</v>
      </c>
      <c r="V43" s="43" t="n">
        <f aca="false">IF(V5&gt;=Supuestos!$C$65,Supuestos!$C$64*(1+Supuestos!$C$39)^(V6-1),0)</f>
        <v>0</v>
      </c>
      <c r="W43" s="43" t="n">
        <f aca="false">IF(W5&gt;=Supuestos!$C$65,Supuestos!$C$64*(1+Supuestos!$C$39)^(W6-1),0)</f>
        <v>0</v>
      </c>
      <c r="X43" s="43" t="n">
        <f aca="false">IF(X5&gt;=Supuestos!$C$65,Supuestos!$C$64*(1+Supuestos!$C$39)^(X6-1),0)</f>
        <v>0</v>
      </c>
      <c r="Y43" s="43" t="n">
        <f aca="false">IF(Y5&gt;=Supuestos!$C$65,Supuestos!$C$64*(1+Supuestos!$C$39)^(Y6-1),0)</f>
        <v>0</v>
      </c>
      <c r="Z43" s="43" t="n">
        <f aca="false">IF(Z5&gt;=Supuestos!$C$65,Supuestos!$C$64*(1+Supuestos!$C$39)^(Z6-1),0)</f>
        <v>0</v>
      </c>
      <c r="AA43" s="43" t="n">
        <f aca="false">IF(AA5&gt;=Supuestos!$C$65,Supuestos!$C$64*(1+Supuestos!$C$39)^(AA6-1),0)</f>
        <v>551250</v>
      </c>
      <c r="AB43" s="43" t="n">
        <f aca="false">IF(AB5&gt;=Supuestos!$C$65,Supuestos!$C$64*(1+Supuestos!$C$39)^(AB6-1),0)</f>
        <v>551250</v>
      </c>
      <c r="AC43" s="43" t="n">
        <f aca="false">IF(AC5&gt;=Supuestos!$C$65,Supuestos!$C$64*(1+Supuestos!$C$39)^(AC6-1),0)</f>
        <v>551250</v>
      </c>
      <c r="AD43" s="43" t="n">
        <f aca="false">IF(AD5&gt;=Supuestos!$C$65,Supuestos!$C$64*(1+Supuestos!$C$39)^(AD6-1),0)</f>
        <v>551250</v>
      </c>
      <c r="AE43" s="43" t="n">
        <f aca="false">IF(AE5&gt;=Supuestos!$C$65,Supuestos!$C$64*(1+Supuestos!$C$39)^(AE6-1),0)</f>
        <v>551250</v>
      </c>
      <c r="AF43" s="43" t="n">
        <f aca="false">IF(AF5&gt;=Supuestos!$C$65,Supuestos!$C$64*(1+Supuestos!$C$39)^(AF6-1),0)</f>
        <v>551250</v>
      </c>
      <c r="AG43" s="43" t="n">
        <f aca="false">IF(AG5&gt;=Supuestos!$C$65,Supuestos!$C$64*(1+Supuestos!$C$39)^(AG6-1),0)</f>
        <v>551250</v>
      </c>
      <c r="AH43" s="43" t="n">
        <f aca="false">IF(AH5&gt;=Supuestos!$C$65,Supuestos!$C$64*(1+Supuestos!$C$39)^(AH6-1),0)</f>
        <v>551250</v>
      </c>
      <c r="AI43" s="43" t="n">
        <f aca="false">IF(AI5&gt;=Supuestos!$C$65,Supuestos!$C$64*(1+Supuestos!$C$39)^(AI6-1),0)</f>
        <v>551250</v>
      </c>
      <c r="AJ43" s="43" t="n">
        <f aca="false">IF(AJ5&gt;=Supuestos!$C$65,Supuestos!$C$64*(1+Supuestos!$C$39)^(AJ6-1),0)</f>
        <v>551250</v>
      </c>
      <c r="AK43" s="43" t="n">
        <f aca="false">IF(AK5&gt;=Supuestos!$C$65,Supuestos!$C$64*(1+Supuestos!$C$39)^(AK6-1),0)</f>
        <v>551250</v>
      </c>
      <c r="AL43" s="43" t="n">
        <f aca="false">IF(AL5&gt;=Supuestos!$C$65,Supuestos!$C$64*(1+Supuestos!$C$39)^(AL6-1),0)</f>
        <v>551250</v>
      </c>
      <c r="AM43" s="43" t="n">
        <f aca="false">IF(AM5&gt;=Supuestos!$C$65,Supuestos!$C$64*(1+Supuestos!$C$39)^(AM6-1),0)</f>
        <v>578812.5</v>
      </c>
      <c r="AN43" s="43" t="n">
        <f aca="false">IF(AN5&gt;=Supuestos!$C$65,Supuestos!$C$64*(1+Supuestos!$C$39)^(AN6-1),0)</f>
        <v>578812.5</v>
      </c>
      <c r="AO43" s="43" t="n">
        <f aca="false">IF(AO5&gt;=Supuestos!$C$65,Supuestos!$C$64*(1+Supuestos!$C$39)^(AO6-1),0)</f>
        <v>578812.5</v>
      </c>
      <c r="AP43" s="43" t="n">
        <f aca="false">IF(AP5&gt;=Supuestos!$C$65,Supuestos!$C$64*(1+Supuestos!$C$39)^(AP6-1),0)</f>
        <v>578812.5</v>
      </c>
      <c r="AQ43" s="43" t="n">
        <f aca="false">IF(AQ5&gt;=Supuestos!$C$65,Supuestos!$C$64*(1+Supuestos!$C$39)^(AQ6-1),0)</f>
        <v>578812.5</v>
      </c>
      <c r="AR43" s="43" t="n">
        <f aca="false">IF(AR5&gt;=Supuestos!$C$65,Supuestos!$C$64*(1+Supuestos!$C$39)^(AR6-1),0)</f>
        <v>578812.5</v>
      </c>
      <c r="AS43" s="43" t="n">
        <f aca="false">IF(AS5&gt;=Supuestos!$C$65,Supuestos!$C$64*(1+Supuestos!$C$39)^(AS6-1),0)</f>
        <v>578812.5</v>
      </c>
      <c r="AT43" s="43" t="n">
        <f aca="false">IF(AT5&gt;=Supuestos!$C$65,Supuestos!$C$64*(1+Supuestos!$C$39)^(AT6-1),0)</f>
        <v>578812.5</v>
      </c>
      <c r="AU43" s="43" t="n">
        <f aca="false">IF(AU5&gt;=Supuestos!$C$65,Supuestos!$C$64*(1+Supuestos!$C$39)^(AU6-1),0)</f>
        <v>578812.5</v>
      </c>
      <c r="AV43" s="43" t="n">
        <f aca="false">IF(AV5&gt;=Supuestos!$C$65,Supuestos!$C$64*(1+Supuestos!$C$39)^(AV6-1),0)</f>
        <v>578812.5</v>
      </c>
      <c r="AW43" s="43" t="n">
        <f aca="false">IF(AW5&gt;=Supuestos!$C$65,Supuestos!$C$64*(1+Supuestos!$C$39)^(AW6-1),0)</f>
        <v>578812.5</v>
      </c>
      <c r="AX43" s="43" t="n">
        <f aca="false">IF(AX5&gt;=Supuestos!$C$65,Supuestos!$C$64*(1+Supuestos!$C$39)^(AX6-1),0)</f>
        <v>578812.5</v>
      </c>
      <c r="AY43" s="43" t="n">
        <f aca="false">IF(AY5&gt;=Supuestos!$C$65,Supuestos!$C$64*(1+Supuestos!$C$39)^(AY6-1),0)</f>
        <v>607753.125</v>
      </c>
      <c r="AZ43" s="43" t="n">
        <f aca="false">IF(AZ5&gt;=Supuestos!$C$65,Supuestos!$C$64*(1+Supuestos!$C$39)^(AZ6-1),0)</f>
        <v>607753.125</v>
      </c>
      <c r="BA43" s="43" t="n">
        <f aca="false">IF(BA5&gt;=Supuestos!$C$65,Supuestos!$C$64*(1+Supuestos!$C$39)^(BA6-1),0)</f>
        <v>607753.125</v>
      </c>
      <c r="BB43" s="43" t="n">
        <f aca="false">IF(BB5&gt;=Supuestos!$C$65,Supuestos!$C$64*(1+Supuestos!$C$39)^(BB6-1),0)</f>
        <v>607753.125</v>
      </c>
      <c r="BC43" s="43" t="n">
        <f aca="false">IF(BC5&gt;=Supuestos!$C$65,Supuestos!$C$64*(1+Supuestos!$C$39)^(BC6-1),0)</f>
        <v>607753.125</v>
      </c>
      <c r="BD43" s="43" t="n">
        <f aca="false">IF(BD5&gt;=Supuestos!$C$65,Supuestos!$C$64*(1+Supuestos!$C$39)^(BD6-1),0)</f>
        <v>607753.125</v>
      </c>
      <c r="BE43" s="43" t="n">
        <f aca="false">IF(BE5&gt;=Supuestos!$C$65,Supuestos!$C$64*(1+Supuestos!$C$39)^(BE6-1),0)</f>
        <v>607753.125</v>
      </c>
      <c r="BF43" s="43" t="n">
        <f aca="false">IF(BF5&gt;=Supuestos!$C$65,Supuestos!$C$64*(1+Supuestos!$C$39)^(BF6-1),0)</f>
        <v>607753.125</v>
      </c>
      <c r="BG43" s="43" t="n">
        <f aca="false">IF(BG5&gt;=Supuestos!$C$65,Supuestos!$C$64*(1+Supuestos!$C$39)^(BG6-1),0)</f>
        <v>607753.125</v>
      </c>
      <c r="BH43" s="43" t="n">
        <f aca="false">IF(BH5&gt;=Supuestos!$C$65,Supuestos!$C$64*(1+Supuestos!$C$39)^(BH6-1),0)</f>
        <v>607753.125</v>
      </c>
      <c r="BI43" s="43" t="n">
        <f aca="false">IF(BI5&gt;=Supuestos!$C$65,Supuestos!$C$64*(1+Supuestos!$C$39)^(BI6-1),0)</f>
        <v>607753.125</v>
      </c>
      <c r="BJ43" s="43" t="n">
        <f aca="false">IF(BJ5&gt;=Supuestos!$C$65,Supuestos!$C$64*(1+Supuestos!$C$39)^(BJ6-1),0)</f>
        <v>607753.125</v>
      </c>
    </row>
    <row r="44" customFormat="false" ht="15" hidden="false" customHeight="true" outlineLevel="0" collapsed="false">
      <c r="A44" s="10" t="s">
        <v>266</v>
      </c>
      <c r="B44" s="7" t="s">
        <v>146</v>
      </c>
      <c r="C44" s="43" t="n">
        <f aca="false">IF(C6=1,Supuestos!$C$66,Supuestos!$C$67*(1+Supuestos!$C$39)^(C6-2))</f>
        <v>200000</v>
      </c>
      <c r="D44" s="43" t="n">
        <f aca="false">IF(D6=1,Supuestos!$C$66,Supuestos!$C$67*(1+Supuestos!$C$39)^(D6-2))</f>
        <v>200000</v>
      </c>
      <c r="E44" s="43" t="n">
        <f aca="false">IF(E6=1,Supuestos!$C$66,Supuestos!$C$67*(1+Supuestos!$C$39)^(E6-2))</f>
        <v>200000</v>
      </c>
      <c r="F44" s="43" t="n">
        <f aca="false">IF(F6=1,Supuestos!$C$66,Supuestos!$C$67*(1+Supuestos!$C$39)^(F6-2))</f>
        <v>200000</v>
      </c>
      <c r="G44" s="43" t="n">
        <f aca="false">IF(G6=1,Supuestos!$C$66,Supuestos!$C$67*(1+Supuestos!$C$39)^(G6-2))</f>
        <v>200000</v>
      </c>
      <c r="H44" s="43" t="n">
        <f aca="false">IF(H6=1,Supuestos!$C$66,Supuestos!$C$67*(1+Supuestos!$C$39)^(H6-2))</f>
        <v>200000</v>
      </c>
      <c r="I44" s="43" t="n">
        <f aca="false">IF(I6=1,Supuestos!$C$66,Supuestos!$C$67*(1+Supuestos!$C$39)^(I6-2))</f>
        <v>200000</v>
      </c>
      <c r="J44" s="43" t="n">
        <f aca="false">IF(J6=1,Supuestos!$C$66,Supuestos!$C$67*(1+Supuestos!$C$39)^(J6-2))</f>
        <v>200000</v>
      </c>
      <c r="K44" s="43" t="n">
        <f aca="false">IF(K6=1,Supuestos!$C$66,Supuestos!$C$67*(1+Supuestos!$C$39)^(K6-2))</f>
        <v>200000</v>
      </c>
      <c r="L44" s="43" t="n">
        <f aca="false">IF(L6=1,Supuestos!$C$66,Supuestos!$C$67*(1+Supuestos!$C$39)^(L6-2))</f>
        <v>200000</v>
      </c>
      <c r="M44" s="43" t="n">
        <f aca="false">IF(M6=1,Supuestos!$C$66,Supuestos!$C$67*(1+Supuestos!$C$39)^(M6-2))</f>
        <v>200000</v>
      </c>
      <c r="N44" s="43" t="n">
        <f aca="false">IF(N6=1,Supuestos!$C$66,Supuestos!$C$67*(1+Supuestos!$C$39)^(N6-2))</f>
        <v>200000</v>
      </c>
      <c r="O44" s="43" t="n">
        <f aca="false">IF(O6=1,Supuestos!$C$66,Supuestos!$C$67*(1+Supuestos!$C$39)^(O6-2))</f>
        <v>400000</v>
      </c>
      <c r="P44" s="43" t="n">
        <f aca="false">IF(P6=1,Supuestos!$C$66,Supuestos!$C$67*(1+Supuestos!$C$39)^(P6-2))</f>
        <v>400000</v>
      </c>
      <c r="Q44" s="43" t="n">
        <f aca="false">IF(Q6=1,Supuestos!$C$66,Supuestos!$C$67*(1+Supuestos!$C$39)^(Q6-2))</f>
        <v>400000</v>
      </c>
      <c r="R44" s="43" t="n">
        <f aca="false">IF(R6=1,Supuestos!$C$66,Supuestos!$C$67*(1+Supuestos!$C$39)^(R6-2))</f>
        <v>400000</v>
      </c>
      <c r="S44" s="43" t="n">
        <f aca="false">IF(S6=1,Supuestos!$C$66,Supuestos!$C$67*(1+Supuestos!$C$39)^(S6-2))</f>
        <v>400000</v>
      </c>
      <c r="T44" s="43" t="n">
        <f aca="false">IF(T6=1,Supuestos!$C$66,Supuestos!$C$67*(1+Supuestos!$C$39)^(T6-2))</f>
        <v>400000</v>
      </c>
      <c r="U44" s="43" t="n">
        <f aca="false">IF(U6=1,Supuestos!$C$66,Supuestos!$C$67*(1+Supuestos!$C$39)^(U6-2))</f>
        <v>400000</v>
      </c>
      <c r="V44" s="43" t="n">
        <f aca="false">IF(V6=1,Supuestos!$C$66,Supuestos!$C$67*(1+Supuestos!$C$39)^(V6-2))</f>
        <v>400000</v>
      </c>
      <c r="W44" s="43" t="n">
        <f aca="false">IF(W6=1,Supuestos!$C$66,Supuestos!$C$67*(1+Supuestos!$C$39)^(W6-2))</f>
        <v>400000</v>
      </c>
      <c r="X44" s="43" t="n">
        <f aca="false">IF(X6=1,Supuestos!$C$66,Supuestos!$C$67*(1+Supuestos!$C$39)^(X6-2))</f>
        <v>400000</v>
      </c>
      <c r="Y44" s="43" t="n">
        <f aca="false">IF(Y6=1,Supuestos!$C$66,Supuestos!$C$67*(1+Supuestos!$C$39)^(Y6-2))</f>
        <v>400000</v>
      </c>
      <c r="Z44" s="43" t="n">
        <f aca="false">IF(Z6=1,Supuestos!$C$66,Supuestos!$C$67*(1+Supuestos!$C$39)^(Z6-2))</f>
        <v>400000</v>
      </c>
      <c r="AA44" s="43" t="n">
        <f aca="false">IF(AA6=1,Supuestos!$C$66,Supuestos!$C$67*(1+Supuestos!$C$39)^(AA6-2))</f>
        <v>420000</v>
      </c>
      <c r="AB44" s="43" t="n">
        <f aca="false">IF(AB6=1,Supuestos!$C$66,Supuestos!$C$67*(1+Supuestos!$C$39)^(AB6-2))</f>
        <v>420000</v>
      </c>
      <c r="AC44" s="43" t="n">
        <f aca="false">IF(AC6=1,Supuestos!$C$66,Supuestos!$C$67*(1+Supuestos!$C$39)^(AC6-2))</f>
        <v>420000</v>
      </c>
      <c r="AD44" s="43" t="n">
        <f aca="false">IF(AD6=1,Supuestos!$C$66,Supuestos!$C$67*(1+Supuestos!$C$39)^(AD6-2))</f>
        <v>420000</v>
      </c>
      <c r="AE44" s="43" t="n">
        <f aca="false">IF(AE6=1,Supuestos!$C$66,Supuestos!$C$67*(1+Supuestos!$C$39)^(AE6-2))</f>
        <v>420000</v>
      </c>
      <c r="AF44" s="43" t="n">
        <f aca="false">IF(AF6=1,Supuestos!$C$66,Supuestos!$C$67*(1+Supuestos!$C$39)^(AF6-2))</f>
        <v>420000</v>
      </c>
      <c r="AG44" s="43" t="n">
        <f aca="false">IF(AG6=1,Supuestos!$C$66,Supuestos!$C$67*(1+Supuestos!$C$39)^(AG6-2))</f>
        <v>420000</v>
      </c>
      <c r="AH44" s="43" t="n">
        <f aca="false">IF(AH6=1,Supuestos!$C$66,Supuestos!$C$67*(1+Supuestos!$C$39)^(AH6-2))</f>
        <v>420000</v>
      </c>
      <c r="AI44" s="43" t="n">
        <f aca="false">IF(AI6=1,Supuestos!$C$66,Supuestos!$C$67*(1+Supuestos!$C$39)^(AI6-2))</f>
        <v>420000</v>
      </c>
      <c r="AJ44" s="43" t="n">
        <f aca="false">IF(AJ6=1,Supuestos!$C$66,Supuestos!$C$67*(1+Supuestos!$C$39)^(AJ6-2))</f>
        <v>420000</v>
      </c>
      <c r="AK44" s="43" t="n">
        <f aca="false">IF(AK6=1,Supuestos!$C$66,Supuestos!$C$67*(1+Supuestos!$C$39)^(AK6-2))</f>
        <v>420000</v>
      </c>
      <c r="AL44" s="43" t="n">
        <f aca="false">IF(AL6=1,Supuestos!$C$66,Supuestos!$C$67*(1+Supuestos!$C$39)^(AL6-2))</f>
        <v>420000</v>
      </c>
      <c r="AM44" s="43" t="n">
        <f aca="false">IF(AM6=1,Supuestos!$C$66,Supuestos!$C$67*(1+Supuestos!$C$39)^(AM6-2))</f>
        <v>441000</v>
      </c>
      <c r="AN44" s="43" t="n">
        <f aca="false">IF(AN6=1,Supuestos!$C$66,Supuestos!$C$67*(1+Supuestos!$C$39)^(AN6-2))</f>
        <v>441000</v>
      </c>
      <c r="AO44" s="43" t="n">
        <f aca="false">IF(AO6=1,Supuestos!$C$66,Supuestos!$C$67*(1+Supuestos!$C$39)^(AO6-2))</f>
        <v>441000</v>
      </c>
      <c r="AP44" s="43" t="n">
        <f aca="false">IF(AP6=1,Supuestos!$C$66,Supuestos!$C$67*(1+Supuestos!$C$39)^(AP6-2))</f>
        <v>441000</v>
      </c>
      <c r="AQ44" s="43" t="n">
        <f aca="false">IF(AQ6=1,Supuestos!$C$66,Supuestos!$C$67*(1+Supuestos!$C$39)^(AQ6-2))</f>
        <v>441000</v>
      </c>
      <c r="AR44" s="43" t="n">
        <f aca="false">IF(AR6=1,Supuestos!$C$66,Supuestos!$C$67*(1+Supuestos!$C$39)^(AR6-2))</f>
        <v>441000</v>
      </c>
      <c r="AS44" s="43" t="n">
        <f aca="false">IF(AS6=1,Supuestos!$C$66,Supuestos!$C$67*(1+Supuestos!$C$39)^(AS6-2))</f>
        <v>441000</v>
      </c>
      <c r="AT44" s="43" t="n">
        <f aca="false">IF(AT6=1,Supuestos!$C$66,Supuestos!$C$67*(1+Supuestos!$C$39)^(AT6-2))</f>
        <v>441000</v>
      </c>
      <c r="AU44" s="43" t="n">
        <f aca="false">IF(AU6=1,Supuestos!$C$66,Supuestos!$C$67*(1+Supuestos!$C$39)^(AU6-2))</f>
        <v>441000</v>
      </c>
      <c r="AV44" s="43" t="n">
        <f aca="false">IF(AV6=1,Supuestos!$C$66,Supuestos!$C$67*(1+Supuestos!$C$39)^(AV6-2))</f>
        <v>441000</v>
      </c>
      <c r="AW44" s="43" t="n">
        <f aca="false">IF(AW6=1,Supuestos!$C$66,Supuestos!$C$67*(1+Supuestos!$C$39)^(AW6-2))</f>
        <v>441000</v>
      </c>
      <c r="AX44" s="43" t="n">
        <f aca="false">IF(AX6=1,Supuestos!$C$66,Supuestos!$C$67*(1+Supuestos!$C$39)^(AX6-2))</f>
        <v>441000</v>
      </c>
      <c r="AY44" s="43" t="n">
        <f aca="false">IF(AY6=1,Supuestos!$C$66,Supuestos!$C$67*(1+Supuestos!$C$39)^(AY6-2))</f>
        <v>463050</v>
      </c>
      <c r="AZ44" s="43" t="n">
        <f aca="false">IF(AZ6=1,Supuestos!$C$66,Supuestos!$C$67*(1+Supuestos!$C$39)^(AZ6-2))</f>
        <v>463050</v>
      </c>
      <c r="BA44" s="43" t="n">
        <f aca="false">IF(BA6=1,Supuestos!$C$66,Supuestos!$C$67*(1+Supuestos!$C$39)^(BA6-2))</f>
        <v>463050</v>
      </c>
      <c r="BB44" s="43" t="n">
        <f aca="false">IF(BB6=1,Supuestos!$C$66,Supuestos!$C$67*(1+Supuestos!$C$39)^(BB6-2))</f>
        <v>463050</v>
      </c>
      <c r="BC44" s="43" t="n">
        <f aca="false">IF(BC6=1,Supuestos!$C$66,Supuestos!$C$67*(1+Supuestos!$C$39)^(BC6-2))</f>
        <v>463050</v>
      </c>
      <c r="BD44" s="43" t="n">
        <f aca="false">IF(BD6=1,Supuestos!$C$66,Supuestos!$C$67*(1+Supuestos!$C$39)^(BD6-2))</f>
        <v>463050</v>
      </c>
      <c r="BE44" s="43" t="n">
        <f aca="false">IF(BE6=1,Supuestos!$C$66,Supuestos!$C$67*(1+Supuestos!$C$39)^(BE6-2))</f>
        <v>463050</v>
      </c>
      <c r="BF44" s="43" t="n">
        <f aca="false">IF(BF6=1,Supuestos!$C$66,Supuestos!$C$67*(1+Supuestos!$C$39)^(BF6-2))</f>
        <v>463050</v>
      </c>
      <c r="BG44" s="43" t="n">
        <f aca="false">IF(BG6=1,Supuestos!$C$66,Supuestos!$C$67*(1+Supuestos!$C$39)^(BG6-2))</f>
        <v>463050</v>
      </c>
      <c r="BH44" s="43" t="n">
        <f aca="false">IF(BH6=1,Supuestos!$C$66,Supuestos!$C$67*(1+Supuestos!$C$39)^(BH6-2))</f>
        <v>463050</v>
      </c>
      <c r="BI44" s="43" t="n">
        <f aca="false">IF(BI6=1,Supuestos!$C$66,Supuestos!$C$67*(1+Supuestos!$C$39)^(BI6-2))</f>
        <v>463050</v>
      </c>
      <c r="BJ44" s="43" t="n">
        <f aca="false">IF(BJ6=1,Supuestos!$C$66,Supuestos!$C$67*(1+Supuestos!$C$39)^(BJ6-2))</f>
        <v>463050</v>
      </c>
    </row>
    <row r="45" customFormat="false" ht="15" hidden="false" customHeight="true" outlineLevel="0" collapsed="false">
      <c r="A45" s="10" t="s">
        <v>267</v>
      </c>
      <c r="B45" s="7" t="s">
        <v>146</v>
      </c>
      <c r="C45" s="43" t="n">
        <f aca="false">(Supuestos!$C$68+Supuestos!$C$69)*(1+Supuestos!$C$39)^(C6-1)</f>
        <v>110000</v>
      </c>
      <c r="D45" s="43" t="n">
        <f aca="false">(Supuestos!$C$68+Supuestos!$C$69)*(1+Supuestos!$C$39)^(D6-1)</f>
        <v>110000</v>
      </c>
      <c r="E45" s="43" t="n">
        <f aca="false">(Supuestos!$C$68+Supuestos!$C$69)*(1+Supuestos!$C$39)^(E6-1)</f>
        <v>110000</v>
      </c>
      <c r="F45" s="43" t="n">
        <f aca="false">(Supuestos!$C$68+Supuestos!$C$69)*(1+Supuestos!$C$39)^(F6-1)</f>
        <v>110000</v>
      </c>
      <c r="G45" s="43" t="n">
        <f aca="false">(Supuestos!$C$68+Supuestos!$C$69)*(1+Supuestos!$C$39)^(G6-1)</f>
        <v>110000</v>
      </c>
      <c r="H45" s="43" t="n">
        <f aca="false">(Supuestos!$C$68+Supuestos!$C$69)*(1+Supuestos!$C$39)^(H6-1)</f>
        <v>110000</v>
      </c>
      <c r="I45" s="43" t="n">
        <f aca="false">(Supuestos!$C$68+Supuestos!$C$69)*(1+Supuestos!$C$39)^(I6-1)</f>
        <v>110000</v>
      </c>
      <c r="J45" s="43" t="n">
        <f aca="false">(Supuestos!$C$68+Supuestos!$C$69)*(1+Supuestos!$C$39)^(J6-1)</f>
        <v>110000</v>
      </c>
      <c r="K45" s="43" t="n">
        <f aca="false">(Supuestos!$C$68+Supuestos!$C$69)*(1+Supuestos!$C$39)^(K6-1)</f>
        <v>110000</v>
      </c>
      <c r="L45" s="43" t="n">
        <f aca="false">(Supuestos!$C$68+Supuestos!$C$69)*(1+Supuestos!$C$39)^(L6-1)</f>
        <v>110000</v>
      </c>
      <c r="M45" s="43" t="n">
        <f aca="false">(Supuestos!$C$68+Supuestos!$C$69)*(1+Supuestos!$C$39)^(M6-1)</f>
        <v>110000</v>
      </c>
      <c r="N45" s="43" t="n">
        <f aca="false">(Supuestos!$C$68+Supuestos!$C$69)*(1+Supuestos!$C$39)^(N6-1)</f>
        <v>110000</v>
      </c>
      <c r="O45" s="43" t="n">
        <f aca="false">(Supuestos!$C$68+Supuestos!$C$69)*(1+Supuestos!$C$39)^(O6-1)</f>
        <v>115500</v>
      </c>
      <c r="P45" s="43" t="n">
        <f aca="false">(Supuestos!$C$68+Supuestos!$C$69)*(1+Supuestos!$C$39)^(P6-1)</f>
        <v>115500</v>
      </c>
      <c r="Q45" s="43" t="n">
        <f aca="false">(Supuestos!$C$68+Supuestos!$C$69)*(1+Supuestos!$C$39)^(Q6-1)</f>
        <v>115500</v>
      </c>
      <c r="R45" s="43" t="n">
        <f aca="false">(Supuestos!$C$68+Supuestos!$C$69)*(1+Supuestos!$C$39)^(R6-1)</f>
        <v>115500</v>
      </c>
      <c r="S45" s="43" t="n">
        <f aca="false">(Supuestos!$C$68+Supuestos!$C$69)*(1+Supuestos!$C$39)^(S6-1)</f>
        <v>115500</v>
      </c>
      <c r="T45" s="43" t="n">
        <f aca="false">(Supuestos!$C$68+Supuestos!$C$69)*(1+Supuestos!$C$39)^(T6-1)</f>
        <v>115500</v>
      </c>
      <c r="U45" s="43" t="n">
        <f aca="false">(Supuestos!$C$68+Supuestos!$C$69)*(1+Supuestos!$C$39)^(U6-1)</f>
        <v>115500</v>
      </c>
      <c r="V45" s="43" t="n">
        <f aca="false">(Supuestos!$C$68+Supuestos!$C$69)*(1+Supuestos!$C$39)^(V6-1)</f>
        <v>115500</v>
      </c>
      <c r="W45" s="43" t="n">
        <f aca="false">(Supuestos!$C$68+Supuestos!$C$69)*(1+Supuestos!$C$39)^(W6-1)</f>
        <v>115500</v>
      </c>
      <c r="X45" s="43" t="n">
        <f aca="false">(Supuestos!$C$68+Supuestos!$C$69)*(1+Supuestos!$C$39)^(X6-1)</f>
        <v>115500</v>
      </c>
      <c r="Y45" s="43" t="n">
        <f aca="false">(Supuestos!$C$68+Supuestos!$C$69)*(1+Supuestos!$C$39)^(Y6-1)</f>
        <v>115500</v>
      </c>
      <c r="Z45" s="43" t="n">
        <f aca="false">(Supuestos!$C$68+Supuestos!$C$69)*(1+Supuestos!$C$39)^(Z6-1)</f>
        <v>115500</v>
      </c>
      <c r="AA45" s="43" t="n">
        <f aca="false">(Supuestos!$C$68+Supuestos!$C$69)*(1+Supuestos!$C$39)^(AA6-1)</f>
        <v>121275</v>
      </c>
      <c r="AB45" s="43" t="n">
        <f aca="false">(Supuestos!$C$68+Supuestos!$C$69)*(1+Supuestos!$C$39)^(AB6-1)</f>
        <v>121275</v>
      </c>
      <c r="AC45" s="43" t="n">
        <f aca="false">(Supuestos!$C$68+Supuestos!$C$69)*(1+Supuestos!$C$39)^(AC6-1)</f>
        <v>121275</v>
      </c>
      <c r="AD45" s="43" t="n">
        <f aca="false">(Supuestos!$C$68+Supuestos!$C$69)*(1+Supuestos!$C$39)^(AD6-1)</f>
        <v>121275</v>
      </c>
      <c r="AE45" s="43" t="n">
        <f aca="false">(Supuestos!$C$68+Supuestos!$C$69)*(1+Supuestos!$C$39)^(AE6-1)</f>
        <v>121275</v>
      </c>
      <c r="AF45" s="43" t="n">
        <f aca="false">(Supuestos!$C$68+Supuestos!$C$69)*(1+Supuestos!$C$39)^(AF6-1)</f>
        <v>121275</v>
      </c>
      <c r="AG45" s="43" t="n">
        <f aca="false">(Supuestos!$C$68+Supuestos!$C$69)*(1+Supuestos!$C$39)^(AG6-1)</f>
        <v>121275</v>
      </c>
      <c r="AH45" s="43" t="n">
        <f aca="false">(Supuestos!$C$68+Supuestos!$C$69)*(1+Supuestos!$C$39)^(AH6-1)</f>
        <v>121275</v>
      </c>
      <c r="AI45" s="43" t="n">
        <f aca="false">(Supuestos!$C$68+Supuestos!$C$69)*(1+Supuestos!$C$39)^(AI6-1)</f>
        <v>121275</v>
      </c>
      <c r="AJ45" s="43" t="n">
        <f aca="false">(Supuestos!$C$68+Supuestos!$C$69)*(1+Supuestos!$C$39)^(AJ6-1)</f>
        <v>121275</v>
      </c>
      <c r="AK45" s="43" t="n">
        <f aca="false">(Supuestos!$C$68+Supuestos!$C$69)*(1+Supuestos!$C$39)^(AK6-1)</f>
        <v>121275</v>
      </c>
      <c r="AL45" s="43" t="n">
        <f aca="false">(Supuestos!$C$68+Supuestos!$C$69)*(1+Supuestos!$C$39)^(AL6-1)</f>
        <v>121275</v>
      </c>
      <c r="AM45" s="43" t="n">
        <f aca="false">(Supuestos!$C$68+Supuestos!$C$69)*(1+Supuestos!$C$39)^(AM6-1)</f>
        <v>127338.75</v>
      </c>
      <c r="AN45" s="43" t="n">
        <f aca="false">(Supuestos!$C$68+Supuestos!$C$69)*(1+Supuestos!$C$39)^(AN6-1)</f>
        <v>127338.75</v>
      </c>
      <c r="AO45" s="43" t="n">
        <f aca="false">(Supuestos!$C$68+Supuestos!$C$69)*(1+Supuestos!$C$39)^(AO6-1)</f>
        <v>127338.75</v>
      </c>
      <c r="AP45" s="43" t="n">
        <f aca="false">(Supuestos!$C$68+Supuestos!$C$69)*(1+Supuestos!$C$39)^(AP6-1)</f>
        <v>127338.75</v>
      </c>
      <c r="AQ45" s="43" t="n">
        <f aca="false">(Supuestos!$C$68+Supuestos!$C$69)*(1+Supuestos!$C$39)^(AQ6-1)</f>
        <v>127338.75</v>
      </c>
      <c r="AR45" s="43" t="n">
        <f aca="false">(Supuestos!$C$68+Supuestos!$C$69)*(1+Supuestos!$C$39)^(AR6-1)</f>
        <v>127338.75</v>
      </c>
      <c r="AS45" s="43" t="n">
        <f aca="false">(Supuestos!$C$68+Supuestos!$C$69)*(1+Supuestos!$C$39)^(AS6-1)</f>
        <v>127338.75</v>
      </c>
      <c r="AT45" s="43" t="n">
        <f aca="false">(Supuestos!$C$68+Supuestos!$C$69)*(1+Supuestos!$C$39)^(AT6-1)</f>
        <v>127338.75</v>
      </c>
      <c r="AU45" s="43" t="n">
        <f aca="false">(Supuestos!$C$68+Supuestos!$C$69)*(1+Supuestos!$C$39)^(AU6-1)</f>
        <v>127338.75</v>
      </c>
      <c r="AV45" s="43" t="n">
        <f aca="false">(Supuestos!$C$68+Supuestos!$C$69)*(1+Supuestos!$C$39)^(AV6-1)</f>
        <v>127338.75</v>
      </c>
      <c r="AW45" s="43" t="n">
        <f aca="false">(Supuestos!$C$68+Supuestos!$C$69)*(1+Supuestos!$C$39)^(AW6-1)</f>
        <v>127338.75</v>
      </c>
      <c r="AX45" s="43" t="n">
        <f aca="false">(Supuestos!$C$68+Supuestos!$C$69)*(1+Supuestos!$C$39)^(AX6-1)</f>
        <v>127338.75</v>
      </c>
      <c r="AY45" s="43" t="n">
        <f aca="false">(Supuestos!$C$68+Supuestos!$C$69)*(1+Supuestos!$C$39)^(AY6-1)</f>
        <v>133705.6875</v>
      </c>
      <c r="AZ45" s="43" t="n">
        <f aca="false">(Supuestos!$C$68+Supuestos!$C$69)*(1+Supuestos!$C$39)^(AZ6-1)</f>
        <v>133705.6875</v>
      </c>
      <c r="BA45" s="43" t="n">
        <f aca="false">(Supuestos!$C$68+Supuestos!$C$69)*(1+Supuestos!$C$39)^(BA6-1)</f>
        <v>133705.6875</v>
      </c>
      <c r="BB45" s="43" t="n">
        <f aca="false">(Supuestos!$C$68+Supuestos!$C$69)*(1+Supuestos!$C$39)^(BB6-1)</f>
        <v>133705.6875</v>
      </c>
      <c r="BC45" s="43" t="n">
        <f aca="false">(Supuestos!$C$68+Supuestos!$C$69)*(1+Supuestos!$C$39)^(BC6-1)</f>
        <v>133705.6875</v>
      </c>
      <c r="BD45" s="43" t="n">
        <f aca="false">(Supuestos!$C$68+Supuestos!$C$69)*(1+Supuestos!$C$39)^(BD6-1)</f>
        <v>133705.6875</v>
      </c>
      <c r="BE45" s="43" t="n">
        <f aca="false">(Supuestos!$C$68+Supuestos!$C$69)*(1+Supuestos!$C$39)^(BE6-1)</f>
        <v>133705.6875</v>
      </c>
      <c r="BF45" s="43" t="n">
        <f aca="false">(Supuestos!$C$68+Supuestos!$C$69)*(1+Supuestos!$C$39)^(BF6-1)</f>
        <v>133705.6875</v>
      </c>
      <c r="BG45" s="43" t="n">
        <f aca="false">(Supuestos!$C$68+Supuestos!$C$69)*(1+Supuestos!$C$39)^(BG6-1)</f>
        <v>133705.6875</v>
      </c>
      <c r="BH45" s="43" t="n">
        <f aca="false">(Supuestos!$C$68+Supuestos!$C$69)*(1+Supuestos!$C$39)^(BH6-1)</f>
        <v>133705.6875</v>
      </c>
      <c r="BI45" s="43" t="n">
        <f aca="false">(Supuestos!$C$68+Supuestos!$C$69)*(1+Supuestos!$C$39)^(BI6-1)</f>
        <v>133705.6875</v>
      </c>
      <c r="BJ45" s="43" t="n">
        <f aca="false">(Supuestos!$C$68+Supuestos!$C$69)*(1+Supuestos!$C$39)^(BJ6-1)</f>
        <v>133705.6875</v>
      </c>
    </row>
    <row r="46" customFormat="false" ht="15" hidden="false" customHeight="true" outlineLevel="0" collapsed="false">
      <c r="A46" s="16" t="s">
        <v>201</v>
      </c>
      <c r="B46" s="7" t="s">
        <v>146</v>
      </c>
      <c r="C46" s="35" t="n">
        <f aca="false">SUM(C41:C45)+C91</f>
        <v>1130284.98</v>
      </c>
      <c r="D46" s="35" t="n">
        <f aca="false">SUM(D41:D45)+D91</f>
        <v>825297.18</v>
      </c>
      <c r="E46" s="35" t="n">
        <f aca="false">SUM(E41:E45)+E91</f>
        <v>1159534.98</v>
      </c>
      <c r="F46" s="35" t="n">
        <f aca="false">SUM(F41:F45)+F91</f>
        <v>1179807.18</v>
      </c>
      <c r="G46" s="35" t="n">
        <f aca="false">SUM(G41:G45)+G91</f>
        <v>1198542.78</v>
      </c>
      <c r="H46" s="35" t="n">
        <f aca="false">SUM(H41:H45)+H91</f>
        <v>1218034.98</v>
      </c>
      <c r="I46" s="35" t="n">
        <f aca="false">SUM(I41:I45)+I91</f>
        <v>1238307.18</v>
      </c>
      <c r="J46" s="35" t="n">
        <f aca="false">SUM(J41:J45)+J91</f>
        <v>1582302.78</v>
      </c>
      <c r="K46" s="35" t="n">
        <f aca="false">SUM(K41:K45)+K91</f>
        <v>1286292.78</v>
      </c>
      <c r="L46" s="35" t="n">
        <f aca="false">SUM(L41:L45)+L91</f>
        <v>1305784.98</v>
      </c>
      <c r="M46" s="35" t="n">
        <f aca="false">SUM(M41:M45)+M91</f>
        <v>1326057.18</v>
      </c>
      <c r="N46" s="35" t="n">
        <f aca="false">SUM(N41:N45)+N91</f>
        <v>1344792.78</v>
      </c>
      <c r="O46" s="35" t="n">
        <f aca="false">SUM(O41:O45)+O91</f>
        <v>1987933.3435</v>
      </c>
      <c r="P46" s="35" t="n">
        <f aca="false">SUM(P41:P45)+P91</f>
        <v>2018645.8435</v>
      </c>
      <c r="Q46" s="35" t="n">
        <f aca="false">SUM(Q41:Q45)+Q91</f>
        <v>2049358.3435</v>
      </c>
      <c r="R46" s="35" t="n">
        <f aca="false">SUM(R41:R45)+R91</f>
        <v>2080070.8435</v>
      </c>
      <c r="S46" s="35" t="n">
        <f aca="false">SUM(S41:S45)+S91</f>
        <v>2110783.3435</v>
      </c>
      <c r="T46" s="35" t="n">
        <f aca="false">SUM(T41:T45)+T91</f>
        <v>2141495.8435</v>
      </c>
      <c r="U46" s="35" t="n">
        <f aca="false">SUM(U41:U45)+U91</f>
        <v>2172208.3435</v>
      </c>
      <c r="V46" s="35" t="n">
        <f aca="false">SUM(V41:V45)+V91</f>
        <v>2202920.8435</v>
      </c>
      <c r="W46" s="35" t="n">
        <f aca="false">SUM(W41:W45)+W91</f>
        <v>2233633.3435</v>
      </c>
      <c r="X46" s="35" t="n">
        <f aca="false">SUM(X41:X45)+X91</f>
        <v>2264345.8435</v>
      </c>
      <c r="Y46" s="35" t="n">
        <f aca="false">SUM(Y41:Y45)+Y91</f>
        <v>2295058.3435</v>
      </c>
      <c r="Z46" s="35" t="n">
        <f aca="false">SUM(Z41:Z45)+Z91</f>
        <v>2325770.8435</v>
      </c>
      <c r="AA46" s="35" t="n">
        <f aca="false">SUM(AA41:AA45)+AA91</f>
        <v>18364218.9229275</v>
      </c>
      <c r="AB46" s="35" t="n">
        <f aca="false">SUM(AB41:AB45)+AB91</f>
        <v>18417965.7979275</v>
      </c>
      <c r="AC46" s="35" t="n">
        <f aca="false">SUM(AC41:AC45)+AC91</f>
        <v>18471712.6729275</v>
      </c>
      <c r="AD46" s="35" t="n">
        <f aca="false">SUM(AD41:AD45)+AD91</f>
        <v>18525459.5479275</v>
      </c>
      <c r="AE46" s="35" t="n">
        <f aca="false">SUM(AE41:AE45)+AE91</f>
        <v>18579206.4229275</v>
      </c>
      <c r="AF46" s="35" t="n">
        <f aca="false">SUM(AF41:AF45)+AF91</f>
        <v>18632953.2979275</v>
      </c>
      <c r="AG46" s="35" t="n">
        <f aca="false">SUM(AG41:AG45)+AG91</f>
        <v>24816738.18057</v>
      </c>
      <c r="AH46" s="35" t="n">
        <f aca="false">SUM(AH41:AH45)+AH91</f>
        <v>22114235.05557</v>
      </c>
      <c r="AI46" s="35" t="n">
        <f aca="false">SUM(AI41:AI45)+AI91</f>
        <v>22167981.93057</v>
      </c>
      <c r="AJ46" s="35" t="n">
        <f aca="false">SUM(AJ41:AJ45)+AJ91</f>
        <v>22221728.80557</v>
      </c>
      <c r="AK46" s="35" t="n">
        <f aca="false">SUM(AK41:AK45)+AK91</f>
        <v>22275475.68057</v>
      </c>
      <c r="AL46" s="35" t="n">
        <f aca="false">SUM(AL41:AL45)+AL91</f>
        <v>22329222.55557</v>
      </c>
      <c r="AM46" s="35" t="n">
        <f aca="false">SUM(AM41:AM45)+AM91</f>
        <v>23502117.9020985</v>
      </c>
      <c r="AN46" s="35" t="n">
        <f aca="false">SUM(AN41:AN45)+AN91</f>
        <v>23558552.1208485</v>
      </c>
      <c r="AO46" s="35" t="n">
        <f aca="false">SUM(AO41:AO45)+AO91</f>
        <v>23614986.3395985</v>
      </c>
      <c r="AP46" s="35" t="n">
        <f aca="false">SUM(AP41:AP45)+AP91</f>
        <v>23671420.5583485</v>
      </c>
      <c r="AQ46" s="35" t="n">
        <f aca="false">SUM(AQ41:AQ45)+AQ91</f>
        <v>23727854.7770985</v>
      </c>
      <c r="AR46" s="35" t="n">
        <f aca="false">SUM(AR41:AR45)+AR91</f>
        <v>23784288.9958485</v>
      </c>
      <c r="AS46" s="35" t="n">
        <f aca="false">SUM(AS41:AS45)+AS91</f>
        <v>30277263.1226231</v>
      </c>
      <c r="AT46" s="35" t="n">
        <f aca="false">SUM(AT41:AT45)+AT91</f>
        <v>27439634.8413731</v>
      </c>
      <c r="AU46" s="35" t="n">
        <f aca="false">SUM(AU41:AU45)+AU91</f>
        <v>27496069.0601231</v>
      </c>
      <c r="AV46" s="35" t="n">
        <f aca="false">SUM(AV41:AV45)+AV91</f>
        <v>27552503.2788731</v>
      </c>
      <c r="AW46" s="35" t="n">
        <f aca="false">SUM(AW41:AW45)+AW91</f>
        <v>27608937.4976231</v>
      </c>
      <c r="AX46" s="35" t="n">
        <f aca="false">SUM(AX41:AX45)+AX91</f>
        <v>27665371.7163731</v>
      </c>
      <c r="AY46" s="35" t="n">
        <f aca="false">SUM(AY41:AY45)+AY91</f>
        <v>29107896.2318793</v>
      </c>
      <c r="AZ46" s="35" t="n">
        <f aca="false">SUM(AZ41:AZ45)+AZ91</f>
        <v>29167152.1615668</v>
      </c>
      <c r="BA46" s="35" t="n">
        <f aca="false">SUM(BA41:BA45)+BA91</f>
        <v>29226408.0912543</v>
      </c>
      <c r="BB46" s="35" t="n">
        <f aca="false">SUM(BB41:BB45)+BB91</f>
        <v>29285664.0209418</v>
      </c>
      <c r="BC46" s="35" t="n">
        <f aca="false">SUM(BC41:BC45)+BC91</f>
        <v>29344919.9506293</v>
      </c>
      <c r="BD46" s="35" t="n">
        <f aca="false">SUM(BD41:BD45)+BD91</f>
        <v>36162542.7837426</v>
      </c>
      <c r="BE46" s="35" t="n">
        <f aca="false">SUM(BE41:BE45)+BE91</f>
        <v>33183033.0884301</v>
      </c>
      <c r="BF46" s="35" t="n">
        <f aca="false">SUM(BF41:BF45)+BF91</f>
        <v>33242289.0181176</v>
      </c>
      <c r="BG46" s="35" t="n">
        <f aca="false">SUM(BG41:BG45)+BG91</f>
        <v>33301544.9478051</v>
      </c>
      <c r="BH46" s="35" t="n">
        <f aca="false">SUM(BH41:BH45)+BH91</f>
        <v>33360800.8774926</v>
      </c>
      <c r="BI46" s="35" t="n">
        <f aca="false">SUM(BI41:BI45)+BI91</f>
        <v>33420056.8071801</v>
      </c>
      <c r="BJ46" s="35" t="n">
        <f aca="false">SUM(BJ41:BJ45)+BJ91</f>
        <v>33479312.7368676</v>
      </c>
    </row>
    <row r="47" customFormat="false" ht="15" hidden="false" customHeight="true" outlineLevel="0" collapsed="false">
      <c r="A47" s="16" t="s">
        <v>202</v>
      </c>
      <c r="B47" s="7" t="s">
        <v>146</v>
      </c>
      <c r="C47" s="35" t="n">
        <f aca="false">C23-C46</f>
        <v>-975904.792</v>
      </c>
      <c r="D47" s="35" t="n">
        <f aca="false">D23-D46</f>
        <v>-483502.18</v>
      </c>
      <c r="E47" s="35" t="n">
        <f aca="false">E23-E46</f>
        <v>-443359.792</v>
      </c>
      <c r="F47" s="35" t="n">
        <f aca="false">F23-F46</f>
        <v>-88802.368</v>
      </c>
      <c r="G47" s="35" t="n">
        <f aca="false">G23-G46</f>
        <v>266842.22</v>
      </c>
      <c r="H47" s="35" t="n">
        <f aca="false">H23-H46</f>
        <v>621730.208</v>
      </c>
      <c r="I47" s="35" t="n">
        <f aca="false">I23-I46</f>
        <v>976287.632</v>
      </c>
      <c r="J47" s="35" t="n">
        <f aca="false">J23-J46</f>
        <v>1194087.032</v>
      </c>
      <c r="K47" s="35" t="n">
        <f aca="false">K23-K46</f>
        <v>1864477.22</v>
      </c>
      <c r="L47" s="35" t="n">
        <f aca="false">L23-L46</f>
        <v>2219365.208</v>
      </c>
      <c r="M47" s="35" t="n">
        <f aca="false">M23-M46</f>
        <v>2573922.632</v>
      </c>
      <c r="N47" s="35" t="n">
        <f aca="false">N23-N46</f>
        <v>2929567.22</v>
      </c>
      <c r="O47" s="35" t="n">
        <f aca="false">O23-O46</f>
        <v>3101029.4065</v>
      </c>
      <c r="P47" s="35" t="n">
        <f aca="false">P23-P46</f>
        <v>3660201.6565</v>
      </c>
      <c r="Q47" s="35" t="n">
        <f aca="false">Q23-Q46</f>
        <v>4219373.9065</v>
      </c>
      <c r="R47" s="35" t="n">
        <f aca="false">R23-R46</f>
        <v>4778546.1565</v>
      </c>
      <c r="S47" s="35" t="n">
        <f aca="false">S23-S46</f>
        <v>5337718.4065</v>
      </c>
      <c r="T47" s="35" t="n">
        <f aca="false">T23-T46</f>
        <v>5896890.6565</v>
      </c>
      <c r="U47" s="35" t="n">
        <f aca="false">U23-U46</f>
        <v>6456062.9065</v>
      </c>
      <c r="V47" s="35" t="n">
        <f aca="false">V23-V46</f>
        <v>7015235.1565</v>
      </c>
      <c r="W47" s="35" t="n">
        <f aca="false">W23-W46</f>
        <v>7574407.4065</v>
      </c>
      <c r="X47" s="35" t="n">
        <f aca="false">X23-X46</f>
        <v>8133579.6565</v>
      </c>
      <c r="Y47" s="35" t="n">
        <f aca="false">Y23-Y46</f>
        <v>8692751.9065</v>
      </c>
      <c r="Z47" s="35" t="n">
        <f aca="false">Z23-Z46</f>
        <v>9251924.1565</v>
      </c>
      <c r="AA47" s="35" t="n">
        <f aca="false">AA23-AA46</f>
        <v>-5394340.8604275</v>
      </c>
      <c r="AB47" s="35" t="n">
        <f aca="false">AB23-AB46</f>
        <v>-4415789.4229275</v>
      </c>
      <c r="AC47" s="35" t="n">
        <f aca="false">AC23-AC46</f>
        <v>-3437237.9854275</v>
      </c>
      <c r="AD47" s="35" t="n">
        <f aca="false">AD23-AD46</f>
        <v>-2458686.5479275</v>
      </c>
      <c r="AE47" s="35" t="n">
        <f aca="false">AE23-AE46</f>
        <v>-1480135.1104275</v>
      </c>
      <c r="AF47" s="35" t="n">
        <f aca="false">AF23-AF46</f>
        <v>-501583.672927503</v>
      </c>
      <c r="AG47" s="35" t="n">
        <f aca="false">AG23-AG46</f>
        <v>-5653070.24307</v>
      </c>
      <c r="AH47" s="35" t="n">
        <f aca="false">AH23-AH46</f>
        <v>-1918268.80557</v>
      </c>
      <c r="AI47" s="35" t="n">
        <f aca="false">AI23-AI46</f>
        <v>-939717.368070003</v>
      </c>
      <c r="AJ47" s="35" t="n">
        <f aca="false">AJ23-AJ46</f>
        <v>38834.0694299974</v>
      </c>
      <c r="AK47" s="35" t="n">
        <f aca="false">AK23-AK46</f>
        <v>1017385.50693</v>
      </c>
      <c r="AL47" s="35" t="n">
        <f aca="false">AL23-AL46</f>
        <v>1995936.94443</v>
      </c>
      <c r="AM47" s="35" t="n">
        <f aca="false">AM23-AM46</f>
        <v>3145712.8010265</v>
      </c>
      <c r="AN47" s="35" t="n">
        <f aca="false">AN23-AN46</f>
        <v>4173191.8104015</v>
      </c>
      <c r="AO47" s="35" t="n">
        <f aca="false">AO23-AO46</f>
        <v>5200670.8197765</v>
      </c>
      <c r="AP47" s="35" t="n">
        <f aca="false">AP23-AP46</f>
        <v>6228149.8291515</v>
      </c>
      <c r="AQ47" s="35" t="n">
        <f aca="false">AQ23-AQ46</f>
        <v>6905628.8385265</v>
      </c>
      <c r="AR47" s="35" t="n">
        <f aca="false">AR23-AR46</f>
        <v>7933107.8479015</v>
      </c>
      <c r="AS47" s="35" t="n">
        <f aca="false">AS23-AS46</f>
        <v>2524046.94925187</v>
      </c>
      <c r="AT47" s="35" t="n">
        <f aca="false">AT23-AT46</f>
        <v>6445588.45862687</v>
      </c>
      <c r="AU47" s="35" t="n">
        <f aca="false">AU23-AU46</f>
        <v>7473067.46800187</v>
      </c>
      <c r="AV47" s="35" t="n">
        <f aca="false">AV23-AV46</f>
        <v>8500546.47737687</v>
      </c>
      <c r="AW47" s="35" t="n">
        <f aca="false">AW23-AW46</f>
        <v>9528025.48675187</v>
      </c>
      <c r="AX47" s="35" t="n">
        <f aca="false">AX23-AX46</f>
        <v>10555504.4961269</v>
      </c>
      <c r="AY47" s="35" t="n">
        <f aca="false">AY23-AY46</f>
        <v>12202132.680777</v>
      </c>
      <c r="AZ47" s="35" t="n">
        <f aca="false">AZ23-AZ46</f>
        <v>13280985.6406207</v>
      </c>
      <c r="BA47" s="35" t="n">
        <f aca="false">BA23-BA46</f>
        <v>14359838.6004645</v>
      </c>
      <c r="BB47" s="35" t="n">
        <f aca="false">BB23-BB46</f>
        <v>15438691.5603082</v>
      </c>
      <c r="BC47" s="35" t="n">
        <f aca="false">BC23-BC46</f>
        <v>16517544.520152</v>
      </c>
      <c r="BD47" s="35" t="n">
        <f aca="false">BD23-BD46</f>
        <v>10838030.5765699</v>
      </c>
      <c r="BE47" s="35" t="n">
        <f aca="false">BE23-BE46</f>
        <v>14955649.1614136</v>
      </c>
      <c r="BF47" s="35" t="n">
        <f aca="false">BF23-BF46</f>
        <v>16034502.1212574</v>
      </c>
      <c r="BG47" s="35" t="n">
        <f aca="false">BG23-BG46</f>
        <v>17113355.0811011</v>
      </c>
      <c r="BH47" s="35" t="n">
        <f aca="false">BH23-BH46</f>
        <v>18192208.0409449</v>
      </c>
      <c r="BI47" s="35" t="n">
        <f aca="false">BI23-BI46</f>
        <v>19271061.0007886</v>
      </c>
      <c r="BJ47" s="35" t="n">
        <f aca="false">BJ23-BJ46</f>
        <v>20349913.9606324</v>
      </c>
    </row>
    <row r="48" customFormat="false" ht="15" hidden="false" customHeight="true" outlineLevel="0" collapsed="false">
      <c r="A48" s="16" t="s">
        <v>268</v>
      </c>
      <c r="B48" s="7" t="s">
        <v>146</v>
      </c>
      <c r="C48" s="35" t="n">
        <f aca="false">-(Supuestos!$C$71+Supuestos!$C$72+Supuestos!$C$73)+C47</f>
        <v>-2475904.792</v>
      </c>
      <c r="D48" s="35" t="n">
        <f aca="false">C48+D47</f>
        <v>-2959406.972</v>
      </c>
      <c r="E48" s="35" t="n">
        <f aca="false">D48+E47</f>
        <v>-3402766.764</v>
      </c>
      <c r="F48" s="35" t="n">
        <f aca="false">E48+F47</f>
        <v>-3491569.132</v>
      </c>
      <c r="G48" s="35" t="n">
        <f aca="false">F48+G47</f>
        <v>-3224726.912</v>
      </c>
      <c r="H48" s="35" t="n">
        <f aca="false">G48+H47</f>
        <v>-2602996.704</v>
      </c>
      <c r="I48" s="35" t="n">
        <f aca="false">H48+I47</f>
        <v>-1626709.072</v>
      </c>
      <c r="J48" s="35" t="n">
        <f aca="false">I48+J47</f>
        <v>-432622.04</v>
      </c>
      <c r="K48" s="35" t="n">
        <f aca="false">J48+K47</f>
        <v>1431855.18</v>
      </c>
      <c r="L48" s="35" t="n">
        <f aca="false">K48+L47</f>
        <v>3651220.388</v>
      </c>
      <c r="M48" s="35" t="n">
        <f aca="false">L48+M47</f>
        <v>6225143.02</v>
      </c>
      <c r="N48" s="35" t="n">
        <f aca="false">M48+N47</f>
        <v>9154710.24</v>
      </c>
      <c r="O48" s="35" t="n">
        <f aca="false">N48+O47</f>
        <v>12255739.6465</v>
      </c>
      <c r="P48" s="35" t="n">
        <f aca="false">O48+P47</f>
        <v>15915941.303</v>
      </c>
      <c r="Q48" s="35" t="n">
        <f aca="false">P48+Q47</f>
        <v>20135315.2095</v>
      </c>
      <c r="R48" s="35" t="n">
        <f aca="false">Q48+R47</f>
        <v>24913861.366</v>
      </c>
      <c r="S48" s="35" t="n">
        <f aca="false">R48+S47</f>
        <v>30251579.7725</v>
      </c>
      <c r="T48" s="35" t="n">
        <f aca="false">S48+T47</f>
        <v>36148470.429</v>
      </c>
      <c r="U48" s="35" t="n">
        <f aca="false">T48+U47</f>
        <v>42604533.3355</v>
      </c>
      <c r="V48" s="35" t="n">
        <f aca="false">U48+V47</f>
        <v>49619768.492</v>
      </c>
      <c r="W48" s="35" t="n">
        <f aca="false">V48+W47</f>
        <v>57194175.8985</v>
      </c>
      <c r="X48" s="35" t="n">
        <f aca="false">W48+X47</f>
        <v>65327755.555</v>
      </c>
      <c r="Y48" s="35" t="n">
        <f aca="false">X48+Y47</f>
        <v>74020507.4615</v>
      </c>
      <c r="Z48" s="35" t="n">
        <f aca="false">Y48+Z47</f>
        <v>83272431.618</v>
      </c>
      <c r="AA48" s="35" t="n">
        <f aca="false">Z48+AA47</f>
        <v>77878090.7575725</v>
      </c>
      <c r="AB48" s="35" t="n">
        <f aca="false">AA48+AB47</f>
        <v>73462301.334645</v>
      </c>
      <c r="AC48" s="35" t="n">
        <f aca="false">AB48+AC47</f>
        <v>70025063.3492175</v>
      </c>
      <c r="AD48" s="35" t="n">
        <f aca="false">AC48+AD47</f>
        <v>67566376.80129</v>
      </c>
      <c r="AE48" s="35" t="n">
        <f aca="false">AD48+AE47</f>
        <v>66086241.6908625</v>
      </c>
      <c r="AF48" s="35" t="n">
        <f aca="false">AE48+AF47</f>
        <v>65584658.017935</v>
      </c>
      <c r="AG48" s="35" t="n">
        <f aca="false">AF48+AG47</f>
        <v>59931587.774865</v>
      </c>
      <c r="AH48" s="35" t="n">
        <f aca="false">AG48+AH47</f>
        <v>58013318.969295</v>
      </c>
      <c r="AI48" s="35" t="n">
        <f aca="false">AH48+AI47</f>
        <v>57073601.601225</v>
      </c>
      <c r="AJ48" s="35" t="n">
        <f aca="false">AI48+AJ47</f>
        <v>57112435.670655</v>
      </c>
      <c r="AK48" s="35" t="n">
        <f aca="false">AJ48+AK47</f>
        <v>58129821.177585</v>
      </c>
      <c r="AL48" s="35" t="n">
        <f aca="false">AK48+AL47</f>
        <v>60125758.122015</v>
      </c>
      <c r="AM48" s="35" t="n">
        <f aca="false">AL48+AM47</f>
        <v>63271470.9230415</v>
      </c>
      <c r="AN48" s="35" t="n">
        <f aca="false">AM48+AN47</f>
        <v>67444662.733443</v>
      </c>
      <c r="AO48" s="35" t="n">
        <f aca="false">AN48+AO47</f>
        <v>72645333.5532195</v>
      </c>
      <c r="AP48" s="35" t="n">
        <f aca="false">AO48+AP47</f>
        <v>78873483.382371</v>
      </c>
      <c r="AQ48" s="35" t="n">
        <f aca="false">AP48+AQ47</f>
        <v>85779112.2208975</v>
      </c>
      <c r="AR48" s="35" t="n">
        <f aca="false">AQ48+AR47</f>
        <v>93712220.0687989</v>
      </c>
      <c r="AS48" s="35" t="n">
        <f aca="false">AR48+AS47</f>
        <v>96236267.0180508</v>
      </c>
      <c r="AT48" s="35" t="n">
        <f aca="false">AS48+AT47</f>
        <v>102681855.476678</v>
      </c>
      <c r="AU48" s="35" t="n">
        <f aca="false">AT48+AU47</f>
        <v>110154922.94468</v>
      </c>
      <c r="AV48" s="35" t="n">
        <f aca="false">AU48+AV47</f>
        <v>118655469.422056</v>
      </c>
      <c r="AW48" s="35" t="n">
        <f aca="false">AV48+AW47</f>
        <v>128183494.908808</v>
      </c>
      <c r="AX48" s="35" t="n">
        <f aca="false">AW48+AX47</f>
        <v>138738999.404935</v>
      </c>
      <c r="AY48" s="35" t="n">
        <f aca="false">AX48+AY47</f>
        <v>150941132.085712</v>
      </c>
      <c r="AZ48" s="35" t="n">
        <f aca="false">AY48+AZ47</f>
        <v>164222117.726333</v>
      </c>
      <c r="BA48" s="35" t="n">
        <f aca="false">AZ48+BA47</f>
        <v>178581956.326797</v>
      </c>
      <c r="BB48" s="35" t="n">
        <f aca="false">BA48+BB47</f>
        <v>194020647.887106</v>
      </c>
      <c r="BC48" s="35" t="n">
        <f aca="false">BB48+BC47</f>
        <v>210538192.407258</v>
      </c>
      <c r="BD48" s="35" t="n">
        <f aca="false">BC48+BD47</f>
        <v>221376222.983827</v>
      </c>
      <c r="BE48" s="35" t="n">
        <f aca="false">BD48+BE47</f>
        <v>236331872.145241</v>
      </c>
      <c r="BF48" s="35" t="n">
        <f aca="false">BE48+BF47</f>
        <v>252366374.266498</v>
      </c>
      <c r="BG48" s="35" t="n">
        <f aca="false">BF48+BG47</f>
        <v>269479729.347599</v>
      </c>
      <c r="BH48" s="35" t="n">
        <f aca="false">BG48+BH47</f>
        <v>287671937.388544</v>
      </c>
      <c r="BI48" s="35" t="n">
        <f aca="false">BH48+BI47</f>
        <v>306942998.389333</v>
      </c>
      <c r="BJ48" s="35" t="n">
        <f aca="false">BI48+BJ47</f>
        <v>327292912.349965</v>
      </c>
    </row>
    <row r="49" customFormat="false" ht="15" hidden="false" customHeight="true" outlineLevel="0" collapsed="false">
      <c r="A49" s="10" t="s">
        <v>269</v>
      </c>
      <c r="B49" s="7" t="s">
        <v>146</v>
      </c>
      <c r="C49" s="43" t="n">
        <f aca="false">(Supuestos!$C$51-C35)*C36*C31/Supuestos!$C$51/160</f>
        <v>6665467.7655</v>
      </c>
      <c r="D49" s="43" t="n">
        <f aca="false">(Supuestos!$C$51-D35)*D36*D31/Supuestos!$C$51/160</f>
        <v>6665467.7655</v>
      </c>
      <c r="E49" s="43" t="n">
        <f aca="false">(Supuestos!$C$51-E35)*E36*E31/Supuestos!$C$51/160</f>
        <v>6665467.7655</v>
      </c>
      <c r="F49" s="43" t="n">
        <f aca="false">(Supuestos!$C$51-F35)*F36*F31/Supuestos!$C$51/160</f>
        <v>6665467.7655</v>
      </c>
      <c r="G49" s="43" t="n">
        <f aca="false">(Supuestos!$C$51-G35)*G36*G31/Supuestos!$C$51/160</f>
        <v>6665467.7655</v>
      </c>
      <c r="H49" s="43" t="n">
        <f aca="false">(Supuestos!$C$51-H35)*H36*H31/Supuestos!$C$51/160</f>
        <v>6665467.7655</v>
      </c>
      <c r="I49" s="43" t="n">
        <f aca="false">(Supuestos!$C$51-I35)*I36*I31/Supuestos!$C$51/160</f>
        <v>6665467.7655</v>
      </c>
      <c r="J49" s="43" t="n">
        <f aca="false">(Supuestos!$C$51-J35)*J36*J31/Supuestos!$C$51/160</f>
        <v>6665467.7655</v>
      </c>
      <c r="K49" s="43" t="n">
        <f aca="false">(Supuestos!$C$51-K35)*K36*K31/Supuestos!$C$51/160</f>
        <v>6665467.7655</v>
      </c>
      <c r="L49" s="43" t="n">
        <f aca="false">(Supuestos!$C$51-L35)*L36*L31/Supuestos!$C$51/160</f>
        <v>6665467.7655</v>
      </c>
      <c r="M49" s="43" t="n">
        <f aca="false">(Supuestos!$C$51-M35)*M36*M31/Supuestos!$C$51/160</f>
        <v>6665467.7655</v>
      </c>
      <c r="N49" s="43" t="n">
        <f aca="false">(Supuestos!$C$51-N35)*N36*N31/Supuestos!$C$51/160</f>
        <v>6665467.7655</v>
      </c>
      <c r="O49" s="43" t="n">
        <f aca="false">(Supuestos!$C$51-O35)*O36*O31/Supuestos!$C$51/160</f>
        <v>10498111.7306625</v>
      </c>
      <c r="P49" s="43" t="n">
        <f aca="false">(Supuestos!$C$51-P35)*P36*P31/Supuestos!$C$51/160</f>
        <v>10498111.7306625</v>
      </c>
      <c r="Q49" s="43" t="n">
        <f aca="false">(Supuestos!$C$51-Q35)*Q36*Q31/Supuestos!$C$51/160</f>
        <v>10498111.7306625</v>
      </c>
      <c r="R49" s="43" t="n">
        <f aca="false">(Supuestos!$C$51-R35)*R36*R31/Supuestos!$C$51/160</f>
        <v>10498111.7306625</v>
      </c>
      <c r="S49" s="43" t="n">
        <f aca="false">(Supuestos!$C$51-S35)*S36*S31/Supuestos!$C$51/160</f>
        <v>10498111.7306625</v>
      </c>
      <c r="T49" s="43" t="n">
        <f aca="false">(Supuestos!$C$51-T35)*T36*T31/Supuestos!$C$51/160</f>
        <v>10498111.7306625</v>
      </c>
      <c r="U49" s="43" t="n">
        <f aca="false">(Supuestos!$C$51-U35)*U36*U31/Supuestos!$C$51/160</f>
        <v>10498111.7306625</v>
      </c>
      <c r="V49" s="43" t="n">
        <f aca="false">(Supuestos!$C$51-V35)*V36*V31/Supuestos!$C$51/160</f>
        <v>10498111.7306625</v>
      </c>
      <c r="W49" s="43" t="n">
        <f aca="false">(Supuestos!$C$51-W35)*W36*W31/Supuestos!$C$51/160</f>
        <v>10498111.7306625</v>
      </c>
      <c r="X49" s="43" t="n">
        <f aca="false">(Supuestos!$C$51-X35)*X36*X31/Supuestos!$C$51/160</f>
        <v>10498111.7306625</v>
      </c>
      <c r="Y49" s="43" t="n">
        <f aca="false">(Supuestos!$C$51-Y35)*Y36*Y31/Supuestos!$C$51/160</f>
        <v>10498111.7306625</v>
      </c>
      <c r="Z49" s="43" t="n">
        <f aca="false">(Supuestos!$C$51-Z35)*Z36*Z31/Supuestos!$C$51/160</f>
        <v>10498111.7306625</v>
      </c>
      <c r="AA49" s="43" t="n">
        <f aca="false">(Supuestos!$C$51-AA35)*AA36*AA31/Supuestos!$C$51/160</f>
        <v>0</v>
      </c>
      <c r="AB49" s="43" t="n">
        <f aca="false">(Supuestos!$C$51-AB35)*AB36*AB31/Supuestos!$C$51/160</f>
        <v>0</v>
      </c>
      <c r="AC49" s="43" t="n">
        <f aca="false">(Supuestos!$C$51-AC35)*AC36*AC31/Supuestos!$C$51/160</f>
        <v>0</v>
      </c>
      <c r="AD49" s="43" t="n">
        <f aca="false">(Supuestos!$C$51-AD35)*AD36*AD31/Supuestos!$C$51/160</f>
        <v>0</v>
      </c>
      <c r="AE49" s="43" t="n">
        <f aca="false">(Supuestos!$C$51-AE35)*AE36*AE31/Supuestos!$C$51/160</f>
        <v>0</v>
      </c>
      <c r="AF49" s="43" t="n">
        <f aca="false">(Supuestos!$C$51-AF35)*AF36*AF31/Supuestos!$C$51/160</f>
        <v>0</v>
      </c>
      <c r="AG49" s="43" t="n">
        <f aca="false">(Supuestos!$C$51-AG35)*AG36*AG31/Supuestos!$C$51/160</f>
        <v>0</v>
      </c>
      <c r="AH49" s="43" t="n">
        <f aca="false">(Supuestos!$C$51-AH35)*AH36*AH31/Supuestos!$C$51/160</f>
        <v>0</v>
      </c>
      <c r="AI49" s="43" t="n">
        <f aca="false">(Supuestos!$C$51-AI35)*AI36*AI31/Supuestos!$C$51/160</f>
        <v>0</v>
      </c>
      <c r="AJ49" s="43" t="n">
        <f aca="false">(Supuestos!$C$51-AJ35)*AJ36*AJ31/Supuestos!$C$51/160</f>
        <v>0</v>
      </c>
      <c r="AK49" s="43" t="n">
        <f aca="false">(Supuestos!$C$51-AK35)*AK36*AK31/Supuestos!$C$51/160</f>
        <v>0</v>
      </c>
      <c r="AL49" s="43" t="n">
        <f aca="false">(Supuestos!$C$51-AL35)*AL36*AL31/Supuestos!$C$51/160</f>
        <v>0</v>
      </c>
      <c r="AM49" s="43" t="n">
        <f aca="false">(Supuestos!$C$51-AM35)*AM36*AM31/Supuestos!$C$51/160</f>
        <v>0</v>
      </c>
      <c r="AN49" s="43" t="n">
        <f aca="false">(Supuestos!$C$51-AN35)*AN36*AN31/Supuestos!$C$51/160</f>
        <v>0</v>
      </c>
      <c r="AO49" s="43" t="n">
        <f aca="false">(Supuestos!$C$51-AO35)*AO36*AO31/Supuestos!$C$51/160</f>
        <v>0</v>
      </c>
      <c r="AP49" s="43" t="n">
        <f aca="false">(Supuestos!$C$51-AP35)*AP36*AP31/Supuestos!$C$51/160</f>
        <v>0</v>
      </c>
      <c r="AQ49" s="43" t="n">
        <f aca="false">(Supuestos!$C$51-AQ35)*AQ36*AQ31/Supuestos!$C$51/160</f>
        <v>0</v>
      </c>
      <c r="AR49" s="43" t="n">
        <f aca="false">(Supuestos!$C$51-AR35)*AR36*AR31/Supuestos!$C$51/160</f>
        <v>0</v>
      </c>
      <c r="AS49" s="43" t="n">
        <f aca="false">(Supuestos!$C$51-AS35)*AS36*AS31/Supuestos!$C$51/160</f>
        <v>0</v>
      </c>
      <c r="AT49" s="43" t="n">
        <f aca="false">(Supuestos!$C$51-AT35)*AT36*AT31/Supuestos!$C$51/160</f>
        <v>0</v>
      </c>
      <c r="AU49" s="43" t="n">
        <f aca="false">(Supuestos!$C$51-AU35)*AU36*AU31/Supuestos!$C$51/160</f>
        <v>0</v>
      </c>
      <c r="AV49" s="43" t="n">
        <f aca="false">(Supuestos!$C$51-AV35)*AV36*AV31/Supuestos!$C$51/160</f>
        <v>0</v>
      </c>
      <c r="AW49" s="43" t="n">
        <f aca="false">(Supuestos!$C$51-AW35)*AW36*AW31/Supuestos!$C$51/160</f>
        <v>0</v>
      </c>
      <c r="AX49" s="43" t="n">
        <f aca="false">(Supuestos!$C$51-AX35)*AX36*AX31/Supuestos!$C$51/160</f>
        <v>0</v>
      </c>
      <c r="AY49" s="43" t="n">
        <f aca="false">(Supuestos!$C$51-AY35)*AY36*AY31/Supuestos!$C$51/160</f>
        <v>0</v>
      </c>
      <c r="AZ49" s="43" t="n">
        <f aca="false">(Supuestos!$C$51-AZ35)*AZ36*AZ31/Supuestos!$C$51/160</f>
        <v>0</v>
      </c>
      <c r="BA49" s="43" t="n">
        <f aca="false">(Supuestos!$C$51-BA35)*BA36*BA31/Supuestos!$C$51/160</f>
        <v>0</v>
      </c>
      <c r="BB49" s="43" t="n">
        <f aca="false">(Supuestos!$C$51-BB35)*BB36*BB31/Supuestos!$C$51/160</f>
        <v>0</v>
      </c>
      <c r="BC49" s="43" t="n">
        <f aca="false">(Supuestos!$C$51-BC35)*BC36*BC31/Supuestos!$C$51/160</f>
        <v>0</v>
      </c>
      <c r="BD49" s="43" t="n">
        <f aca="false">(Supuestos!$C$51-BD35)*BD36*BD31/Supuestos!$C$51/160</f>
        <v>0</v>
      </c>
      <c r="BE49" s="43" t="n">
        <f aca="false">(Supuestos!$C$51-BE35)*BE36*BE31/Supuestos!$C$51/160</f>
        <v>0</v>
      </c>
      <c r="BF49" s="43" t="n">
        <f aca="false">(Supuestos!$C$51-BF35)*BF36*BF31/Supuestos!$C$51/160</f>
        <v>0</v>
      </c>
      <c r="BG49" s="43" t="n">
        <f aca="false">(Supuestos!$C$51-BG35)*BG36*BG31/Supuestos!$C$51/160</f>
        <v>0</v>
      </c>
      <c r="BH49" s="43" t="n">
        <f aca="false">(Supuestos!$C$51-BH35)*BH36*BH31/Supuestos!$C$51/160</f>
        <v>0</v>
      </c>
      <c r="BI49" s="43" t="n">
        <f aca="false">(Supuestos!$C$51-BI35)*BI36*BI31/Supuestos!$C$51/160</f>
        <v>0</v>
      </c>
      <c r="BJ49" s="43" t="n">
        <f aca="false">(Supuestos!$C$51-BJ35)*BJ36*BJ31/Supuestos!$C$51/160</f>
        <v>0</v>
      </c>
    </row>
    <row r="51" customFormat="false" ht="15" hidden="false" customHeight="true" outlineLevel="0" collapsed="false">
      <c r="A51" s="8" t="s">
        <v>270</v>
      </c>
      <c r="B51" s="9"/>
      <c r="C51" s="9"/>
      <c r="D51" s="9"/>
      <c r="E51" s="9"/>
      <c r="F51" s="9"/>
      <c r="G51" s="9"/>
      <c r="H51" s="9"/>
    </row>
    <row r="52" customFormat="false" ht="15" hidden="false" customHeight="true" outlineLevel="0" collapsed="false">
      <c r="A52" s="28" t="s">
        <v>181</v>
      </c>
      <c r="B52" s="28" t="s">
        <v>182</v>
      </c>
      <c r="C52" s="28" t="s">
        <v>183</v>
      </c>
      <c r="D52" s="28" t="s">
        <v>184</v>
      </c>
      <c r="E52" s="28" t="s">
        <v>185</v>
      </c>
      <c r="F52" s="28" t="s">
        <v>186</v>
      </c>
      <c r="G52" s="28" t="s">
        <v>187</v>
      </c>
      <c r="H52" s="40"/>
    </row>
    <row r="53" customFormat="false" ht="15" hidden="false" customHeight="true" outlineLevel="0" collapsed="false">
      <c r="A53" s="10" t="s">
        <v>271</v>
      </c>
      <c r="C53" s="44" t="n">
        <f aca="false">INDEX($C$14:$BJ$14,1,12)</f>
        <v>120</v>
      </c>
      <c r="D53" s="44" t="n">
        <f aca="false">INDEX($C$14:$BJ$14,1,24)</f>
        <v>300</v>
      </c>
      <c r="E53" s="44" t="n">
        <f aca="false">INDEX($C$14:$BJ$14,1,36)</f>
        <v>600</v>
      </c>
      <c r="F53" s="44" t="n">
        <f aca="false">INDEX($C$14:$BJ$14,1,48)</f>
        <v>900</v>
      </c>
      <c r="G53" s="44" t="n">
        <f aca="false">INDEX($C$14:$BJ$14,1,60)</f>
        <v>1200</v>
      </c>
    </row>
    <row r="54" customFormat="false" ht="15" hidden="false" customHeight="true" outlineLevel="0" collapsed="false">
      <c r="A54" s="10" t="s">
        <v>272</v>
      </c>
      <c r="C54" s="44" t="n">
        <f aca="false">SUMIF($C$6:$BJ$6,1,$C$13:$BJ$13)</f>
        <v>138.9</v>
      </c>
      <c r="D54" s="44" t="n">
        <f aca="false">SUMIF($C$6:$BJ$6,2,$C$13:$BJ$13)</f>
        <v>252.9</v>
      </c>
      <c r="E54" s="44" t="n">
        <f aca="false">SUMIF($C$6:$BJ$6,3,$C$13:$BJ$13)</f>
        <v>457.5</v>
      </c>
      <c r="F54" s="44" t="n">
        <f aca="false">SUMIF($C$6:$BJ$6,4,$C$13:$BJ$13)</f>
        <v>565.5</v>
      </c>
      <c r="G54" s="44" t="n">
        <f aca="false">SUMIF($C$6:$BJ$6,5,$C$13:$BJ$13)</f>
        <v>673.5</v>
      </c>
    </row>
    <row r="55" customFormat="false" ht="15" hidden="false" customHeight="true" outlineLevel="0" collapsed="false">
      <c r="A55" s="10" t="s">
        <v>273</v>
      </c>
      <c r="C55" s="44" t="n">
        <f aca="false">SUMIF($C$6:$BJ$6,1,$C$12:$BJ$12)</f>
        <v>18.9</v>
      </c>
      <c r="D55" s="44" t="n">
        <f aca="false">SUMIF($C$6:$BJ$6,2,$C$12:$BJ$12)</f>
        <v>72.9</v>
      </c>
      <c r="E55" s="44" t="n">
        <f aca="false">SUMIF($C$6:$BJ$6,3,$C$12:$BJ$12)</f>
        <v>157.5</v>
      </c>
      <c r="F55" s="44" t="n">
        <f aca="false">SUMIF($C$6:$BJ$6,4,$C$12:$BJ$12)</f>
        <v>265.5</v>
      </c>
      <c r="G55" s="44" t="n">
        <f aca="false">SUMIF($C$6:$BJ$6,5,$C$12:$BJ$12)</f>
        <v>373.5</v>
      </c>
    </row>
    <row r="56" customFormat="false" ht="15" hidden="false" customHeight="true" outlineLevel="0" collapsed="false">
      <c r="A56" s="10" t="s">
        <v>191</v>
      </c>
      <c r="C56" s="43" t="n">
        <f aca="false">INDEX($C$17:$BJ$17,1,12)</f>
        <v>39900</v>
      </c>
      <c r="D56" s="43" t="n">
        <f aca="false">INDEX($C$17:$BJ$17,1,24)</f>
        <v>41895</v>
      </c>
      <c r="E56" s="43" t="n">
        <f aca="false">INDEX($C$17:$BJ$17,1,36)</f>
        <v>43989.75</v>
      </c>
      <c r="F56" s="43" t="n">
        <f aca="false">INDEX($C$17:$BJ$17,1,48)</f>
        <v>46189.2375</v>
      </c>
      <c r="G56" s="43" t="n">
        <f aca="false">INDEX($C$17:$BJ$17,1,60)</f>
        <v>48498.699375</v>
      </c>
    </row>
    <row r="57" customFormat="false" ht="15" hidden="false" customHeight="true" outlineLevel="0" collapsed="false">
      <c r="A57" s="16" t="s">
        <v>57</v>
      </c>
      <c r="C57" s="42" t="n">
        <f aca="false">SUMIF($C$6:$BJ$6,1,$C$18:$BJ$18)/1000000</f>
        <v>29.925</v>
      </c>
      <c r="D57" s="42" t="n">
        <f aca="false">SUMIF($C$6:$BJ$6,2,$C$18:$BJ$18)/1000000</f>
        <v>109.34595</v>
      </c>
      <c r="E57" s="42" t="n">
        <f aca="false">SUMIF($C$6:$BJ$6,3,$C$18:$BJ$18)/1000000</f>
        <v>244.1431125</v>
      </c>
      <c r="F57" s="42" t="n">
        <f aca="false">SUMIF($C$6:$BJ$6,4,$C$18:$BJ$18)/1000000</f>
        <v>422.631523125</v>
      </c>
      <c r="G57" s="42" t="n">
        <f aca="false">SUMIF($C$6:$BJ$6,5,$C$18:$BJ$18)/1000000</f>
        <v>618.35841703125</v>
      </c>
    </row>
    <row r="58" customFormat="false" ht="15" hidden="false" customHeight="true" outlineLevel="0" collapsed="false">
      <c r="A58" s="10" t="s">
        <v>193</v>
      </c>
      <c r="C58" s="41" t="n">
        <f aca="false">SUMIF($C$6:$BJ$6,1,$C$22:$BJ$22)/1000000</f>
        <v>4.47525</v>
      </c>
      <c r="D58" s="41" t="n">
        <f aca="false">SUMIF($C$6:$BJ$6,2,$C$22:$BJ$22)/1000000</f>
        <v>9.3460035</v>
      </c>
      <c r="E58" s="41" t="n">
        <f aca="false">SUMIF($C$6:$BJ$6,3,$C$22:$BJ$22)/1000000</f>
        <v>20.372887125</v>
      </c>
      <c r="F58" s="41" t="n">
        <f aca="false">SUMIF($C$6:$BJ$6,4,$C$22:$BJ$22)/1000000</f>
        <v>34.11928163125</v>
      </c>
      <c r="G58" s="41" t="n">
        <f aca="false">SUMIF($C$6:$BJ$6,5,$C$22:$BJ$22)/1000000</f>
        <v>47.5228833703125</v>
      </c>
    </row>
    <row r="59" customFormat="false" ht="15" hidden="false" customHeight="true" outlineLevel="0" collapsed="false">
      <c r="A59" s="16" t="s">
        <v>194</v>
      </c>
      <c r="C59" s="42" t="n">
        <f aca="false">C57-C58</f>
        <v>25.44975</v>
      </c>
      <c r="D59" s="42" t="n">
        <f aca="false">D57-D58</f>
        <v>99.9999465</v>
      </c>
      <c r="E59" s="42" t="n">
        <f aca="false">E57-E58</f>
        <v>223.770225375</v>
      </c>
      <c r="F59" s="42" t="n">
        <f aca="false">F57-F58</f>
        <v>388.51224149375</v>
      </c>
      <c r="G59" s="42" t="n">
        <f aca="false">G57-G58</f>
        <v>570.835533660938</v>
      </c>
    </row>
    <row r="60" customFormat="false" ht="15" hidden="false" customHeight="true" outlineLevel="0" collapsed="false">
      <c r="A60" s="10" t="s">
        <v>195</v>
      </c>
      <c r="C60" s="47" t="n">
        <f aca="false">IF(C57=0,0,C59/C57)</f>
        <v>0.850451127819549</v>
      </c>
      <c r="D60" s="47" t="n">
        <f aca="false">IF(D57=0,0,D59/D57)</f>
        <v>0.914528123812542</v>
      </c>
      <c r="E60" s="47" t="n">
        <f aca="false">IF(E57=0,0,E59/E57)</f>
        <v>0.916553504555653</v>
      </c>
      <c r="F60" s="47" t="n">
        <f aca="false">IF(F57=0,0,F59/F57)</f>
        <v>0.91926943504127</v>
      </c>
      <c r="G60" s="47" t="n">
        <f aca="false">IF(G57=0,0,G59/G57)</f>
        <v>0.923146702524936</v>
      </c>
    </row>
    <row r="61" customFormat="false" ht="15" hidden="false" customHeight="true" outlineLevel="0" collapsed="false">
      <c r="A61" s="10" t="s">
        <v>197</v>
      </c>
      <c r="C61" s="41" t="n">
        <f aca="false">SUMIF($C$6:$BJ$6,1,$C$34:$BJ$34)/1000000</f>
        <v>0</v>
      </c>
      <c r="D61" s="41" t="n">
        <f aca="false">SUMIF($C$6:$BJ$6,2,$C$34:$BJ$34)/1000000</f>
        <v>0</v>
      </c>
      <c r="E61" s="41" t="n">
        <f aca="false">SUMIF($C$6:$BJ$6,3,$C$34:$BJ$34)/1000000</f>
        <v>20.242728045855</v>
      </c>
      <c r="F61" s="41" t="n">
        <f aca="false">SUMIF($C$6:$BJ$6,4,$C$34:$BJ$34)/1000000</f>
        <v>63.7645933444433</v>
      </c>
      <c r="G61" s="41" t="n">
        <f aca="false">SUMIF($C$6:$BJ$6,5,$C$34:$BJ$34)/1000000</f>
        <v>115.307639631202</v>
      </c>
    </row>
    <row r="62" customFormat="false" ht="15" hidden="false" customHeight="true" outlineLevel="0" collapsed="false">
      <c r="A62" s="10" t="s">
        <v>198</v>
      </c>
      <c r="C62" s="41" t="n">
        <f aca="false">SUMIF($C$6:$BJ$6,1,$C$37:$BJ$37)/1000000</f>
        <v>0</v>
      </c>
      <c r="D62" s="41" t="n">
        <f aca="false">SUMIF($C$6:$BJ$6,2,$C$37:$BJ$37)/1000000</f>
        <v>0</v>
      </c>
      <c r="E62" s="41" t="n">
        <f aca="false">SUMIF($C$6:$BJ$6,3,$C$37:$BJ$37)/1000000</f>
        <v>176.36827707513</v>
      </c>
      <c r="F62" s="41" t="n">
        <f aca="false">SUMIF($C$6:$BJ$6,4,$C$37:$BJ$37)/1000000</f>
        <v>185.186690928887</v>
      </c>
      <c r="G62" s="41" t="n">
        <f aca="false">SUMIF($C$6:$BJ$6,5,$C$37:$BJ$37)/1000000</f>
        <v>194.446025475331</v>
      </c>
    </row>
    <row r="63" customFormat="false" ht="15" hidden="false" customHeight="true" outlineLevel="0" collapsed="false">
      <c r="A63" s="10" t="s">
        <v>199</v>
      </c>
      <c r="C63" s="41" t="n">
        <f aca="false">SUMIF($C$6:$BJ$6,1,$C$42:$BJ$42)/1000000</f>
        <v>9.0285</v>
      </c>
      <c r="D63" s="41" t="n">
        <f aca="false">SUMIF($C$6:$BJ$6,2,$C$42:$BJ$42)/1000000</f>
        <v>17.260425</v>
      </c>
      <c r="E63" s="41" t="n">
        <f aca="false">SUMIF($C$6:$BJ$6,3,$C$42:$BJ$42)/1000000</f>
        <v>32.78559375</v>
      </c>
      <c r="F63" s="41" t="n">
        <f aca="false">SUMIF($C$6:$BJ$6,4,$C$42:$BJ$42)/1000000</f>
        <v>42.5514009375</v>
      </c>
      <c r="G63" s="41" t="n">
        <f aca="false">SUMIF($C$6:$BJ$6,5,$C$42:$BJ$42)/1000000</f>
        <v>53.211824859375</v>
      </c>
    </row>
    <row r="64" customFormat="false" ht="15" hidden="false" customHeight="true" outlineLevel="0" collapsed="false">
      <c r="A64" s="10" t="s">
        <v>200</v>
      </c>
      <c r="C64" s="41" t="n">
        <f aca="false">(SUMIF($C$6:$BJ$6,1,$C$43:$BJ$43)+SUMIF($C$6:$BJ$6,1,$C$44:$BJ$44)+SUMIF($C$6:$BJ$6,1,$C$45:$BJ$45)+SUMIF($C$6:$BJ$6,1,$C$91:$BJ$91))/1000000</f>
        <v>5.76653976</v>
      </c>
      <c r="D64" s="41" t="n">
        <f aca="false">(SUMIF($C$6:$BJ$6,2,$C$43:$BJ$43)+SUMIF($C$6:$BJ$6,2,$C$44:$BJ$44)+SUMIF($C$6:$BJ$6,2,$C$45:$BJ$45)+SUMIF($C$6:$BJ$6,2,$C$91:$BJ$91))/1000000</f>
        <v>8.621800122</v>
      </c>
      <c r="E64" s="41" t="n">
        <f aca="false">(SUMIF($C$6:$BJ$6,3,$C$43:$BJ$43)+SUMIF($C$6:$BJ$6,3,$C$44:$BJ$44)+SUMIF($C$6:$BJ$6,3,$C$45:$BJ$45)+SUMIF($C$6:$BJ$6,3,$C$91:$BJ$91))/1000000</f>
        <v>17.5203</v>
      </c>
      <c r="F64" s="41" t="n">
        <f aca="false">(SUMIF($C$6:$BJ$6,4,$C$43:$BJ$43)+SUMIF($C$6:$BJ$6,4,$C$44:$BJ$44)+SUMIF($C$6:$BJ$6,4,$C$45:$BJ$45)+SUMIF($C$6:$BJ$6,4,$C$91:$BJ$91))/1000000</f>
        <v>18.396315</v>
      </c>
      <c r="G64" s="41" t="n">
        <f aca="false">(SUMIF($C$6:$BJ$6,5,$C$43:$BJ$43)+SUMIF($C$6:$BJ$6,5,$C$44:$BJ$44)+SUMIF($C$6:$BJ$6,5,$C$45:$BJ$45)+SUMIF($C$6:$BJ$6,5,$C$91:$BJ$91))/1000000</f>
        <v>19.31613075</v>
      </c>
    </row>
    <row r="65" customFormat="false" ht="15" hidden="false" customHeight="true" outlineLevel="0" collapsed="false">
      <c r="A65" s="16" t="s">
        <v>201</v>
      </c>
      <c r="C65" s="42" t="n">
        <f aca="false">SUMIF($C$6:$BJ$6,1,$C$46:$BJ$46)/1000000</f>
        <v>14.79503976</v>
      </c>
      <c r="D65" s="42" t="n">
        <f aca="false">SUMIF($C$6:$BJ$6,2,$C$46:$BJ$46)/1000000</f>
        <v>25.882225122</v>
      </c>
      <c r="E65" s="42" t="n">
        <f aca="false">SUMIF($C$6:$BJ$6,3,$C$46:$BJ$46)/1000000</f>
        <v>246.916898870985</v>
      </c>
      <c r="F65" s="42" t="n">
        <f aca="false">SUMIF($C$6:$BJ$6,4,$C$46:$BJ$46)/1000000</f>
        <v>309.89900021083</v>
      </c>
      <c r="G65" s="42" t="n">
        <f aca="false">SUMIF($C$6:$BJ$6,5,$C$46:$BJ$46)/1000000</f>
        <v>382.281620715908</v>
      </c>
    </row>
    <row r="66" customFormat="false" ht="15" hidden="false" customHeight="true" outlineLevel="0" collapsed="false">
      <c r="A66" s="16" t="s">
        <v>202</v>
      </c>
      <c r="C66" s="42" t="n">
        <f aca="false">C59-C65</f>
        <v>10.65471024</v>
      </c>
      <c r="D66" s="42" t="n">
        <f aca="false">D59-D65</f>
        <v>74.117721378</v>
      </c>
      <c r="E66" s="42" t="n">
        <f aca="false">E59-E65</f>
        <v>-23.146673495985</v>
      </c>
      <c r="F66" s="42" t="n">
        <f aca="false">F59-F65</f>
        <v>78.6132412829202</v>
      </c>
      <c r="G66" s="42" t="n">
        <f aca="false">G59-G65</f>
        <v>188.55391294503</v>
      </c>
    </row>
    <row r="67" customFormat="false" ht="15" hidden="false" customHeight="true" outlineLevel="0" collapsed="false">
      <c r="A67" s="10" t="s">
        <v>274</v>
      </c>
      <c r="C67" s="41" t="n">
        <f aca="false">0</f>
        <v>0</v>
      </c>
      <c r="D67" s="41" t="n">
        <f aca="false">MIN(0,C67+C66)</f>
        <v>0</v>
      </c>
      <c r="E67" s="41" t="n">
        <f aca="false">MIN(0,D67+D66)</f>
        <v>0</v>
      </c>
      <c r="F67" s="41" t="n">
        <f aca="false">MIN(0,E67+E66)</f>
        <v>-23.146673495985</v>
      </c>
      <c r="G67" s="41" t="n">
        <f aca="false">MIN(0,F67+F66)</f>
        <v>0</v>
      </c>
    </row>
    <row r="68" customFormat="false" ht="15" hidden="false" customHeight="true" outlineLevel="0" collapsed="false">
      <c r="A68" s="10" t="s">
        <v>275</v>
      </c>
      <c r="C68" s="41" t="n">
        <f aca="false">MAX(0,C66+C67)</f>
        <v>10.65471024</v>
      </c>
      <c r="D68" s="41" t="n">
        <f aca="false">MAX(0,D66+D67)</f>
        <v>74.117721378</v>
      </c>
      <c r="E68" s="41" t="n">
        <f aca="false">MAX(0,E66+E67)</f>
        <v>0</v>
      </c>
      <c r="F68" s="41" t="n">
        <f aca="false">MAX(0,F66+F67)</f>
        <v>55.4665677869352</v>
      </c>
      <c r="G68" s="41" t="n">
        <f aca="false">MAX(0,G66+G67)</f>
        <v>188.55391294503</v>
      </c>
    </row>
    <row r="69" customFormat="false" ht="15" hidden="false" customHeight="true" outlineLevel="0" collapsed="false">
      <c r="A69" s="10" t="s">
        <v>203</v>
      </c>
      <c r="C69" s="41" t="n">
        <f aca="false">C68*Supuestos!$C$74</f>
        <v>3.729148584</v>
      </c>
      <c r="D69" s="41" t="n">
        <f aca="false">D68*Supuestos!$C$74</f>
        <v>25.9412024823</v>
      </c>
      <c r="E69" s="41" t="n">
        <f aca="false">E68*Supuestos!$C$74</f>
        <v>0</v>
      </c>
      <c r="F69" s="41" t="n">
        <f aca="false">F68*Supuestos!$C$74</f>
        <v>19.4132987254273</v>
      </c>
      <c r="G69" s="41" t="n">
        <f aca="false">G68*Supuestos!$C$74</f>
        <v>65.9938695307606</v>
      </c>
    </row>
    <row r="70" customFormat="false" ht="15" hidden="false" customHeight="true" outlineLevel="0" collapsed="false">
      <c r="A70" s="16" t="s">
        <v>204</v>
      </c>
      <c r="C70" s="42" t="n">
        <f aca="false">C66-C69</f>
        <v>6.925561656</v>
      </c>
      <c r="D70" s="42" t="n">
        <f aca="false">D66-D69</f>
        <v>48.1765188957</v>
      </c>
      <c r="E70" s="42" t="n">
        <f aca="false">E66-E69</f>
        <v>-23.146673495985</v>
      </c>
      <c r="F70" s="42" t="n">
        <f aca="false">F66-F69</f>
        <v>59.1999425574929</v>
      </c>
      <c r="G70" s="42" t="n">
        <f aca="false">G66-G69</f>
        <v>122.56004341427</v>
      </c>
    </row>
    <row r="71" customFormat="false" ht="15" hidden="false" customHeight="true" outlineLevel="0" collapsed="false">
      <c r="A71" s="16" t="s">
        <v>205</v>
      </c>
      <c r="B71" s="42" t="n">
        <f aca="false">-(Supuestos!$C$71+Supuestos!$C$72+Supuestos!$C$73)/1000000</f>
        <v>-1.5</v>
      </c>
      <c r="C71" s="42" t="n">
        <f aca="false">C70</f>
        <v>6.925561656</v>
      </c>
      <c r="D71" s="42" t="n">
        <f aca="false">D70</f>
        <v>48.1765188957</v>
      </c>
      <c r="E71" s="42" t="n">
        <f aca="false">E70</f>
        <v>-23.146673495985</v>
      </c>
      <c r="F71" s="42" t="n">
        <f aca="false">F70</f>
        <v>59.1999425574929</v>
      </c>
      <c r="G71" s="42" t="n">
        <f aca="false">G70</f>
        <v>122.56004341427</v>
      </c>
    </row>
    <row r="72" customFormat="false" ht="15" hidden="false" customHeight="true" outlineLevel="0" collapsed="false">
      <c r="A72" s="16" t="s">
        <v>206</v>
      </c>
      <c r="B72" s="42" t="n">
        <f aca="false">B71</f>
        <v>-1.5</v>
      </c>
      <c r="C72" s="42" t="n">
        <f aca="false">B72+C71</f>
        <v>5.425561656</v>
      </c>
      <c r="D72" s="42" t="n">
        <f aca="false">C72+D71</f>
        <v>53.6020805517</v>
      </c>
      <c r="E72" s="42" t="n">
        <f aca="false">D72+E71</f>
        <v>30.455407055715</v>
      </c>
      <c r="F72" s="42" t="n">
        <f aca="false">E72+F71</f>
        <v>89.6553496132079</v>
      </c>
      <c r="G72" s="42" t="n">
        <f aca="false">F72+G71</f>
        <v>212.215393027478</v>
      </c>
    </row>
    <row r="73" customFormat="false" ht="15" hidden="false" customHeight="true" outlineLevel="0" collapsed="false">
      <c r="A73" s="10" t="s">
        <v>276</v>
      </c>
      <c r="C73" s="39" t="n">
        <f aca="false">IF(C72&gt;=0,1,0)</f>
        <v>1</v>
      </c>
      <c r="D73" s="39" t="n">
        <f aca="false">IF(D72&gt;=0,1,0)</f>
        <v>1</v>
      </c>
      <c r="E73" s="39" t="n">
        <f aca="false">IF(E72&gt;=0,1,0)</f>
        <v>1</v>
      </c>
      <c r="F73" s="39" t="n">
        <f aca="false">IF(F72&gt;=0,1,0)</f>
        <v>1</v>
      </c>
      <c r="G73" s="39" t="n">
        <f aca="false">IF(G72&gt;=0,1,0)</f>
        <v>1</v>
      </c>
    </row>
    <row r="74" customFormat="false" ht="15" hidden="false" customHeight="true" outlineLevel="0" collapsed="false">
      <c r="A74" s="10" t="s">
        <v>207</v>
      </c>
      <c r="C74" s="41" t="n">
        <f aca="false">SUMIF($C$6:$BJ$6,1,$C$49:$BJ$49)/1000000</f>
        <v>79.985613186</v>
      </c>
      <c r="D74" s="41" t="n">
        <f aca="false">SUMIF($C$6:$BJ$6,2,$C$49:$BJ$49)/1000000</f>
        <v>125.97734076795</v>
      </c>
      <c r="E74" s="41" t="n">
        <f aca="false">SUMIF($C$6:$BJ$6,3,$C$49:$BJ$49)/1000000</f>
        <v>0</v>
      </c>
      <c r="F74" s="41" t="n">
        <f aca="false">SUMIF($C$6:$BJ$6,4,$C$49:$BJ$49)/1000000</f>
        <v>0</v>
      </c>
      <c r="G74" s="41" t="n">
        <f aca="false">SUMIF($C$6:$BJ$6,5,$C$49:$BJ$49)/1000000</f>
        <v>0</v>
      </c>
    </row>
    <row r="75" customFormat="false" ht="15" hidden="false" customHeight="true" outlineLevel="0" collapsed="false">
      <c r="A75" s="10" t="s">
        <v>208</v>
      </c>
      <c r="C75" s="39" t="n">
        <f aca="false">INDEX($C$38:$BJ$38,1,12)</f>
        <v>3</v>
      </c>
      <c r="D75" s="39" t="n">
        <f aca="false">INDEX($C$38:$BJ$38,1,24)</f>
        <v>3</v>
      </c>
      <c r="E75" s="39" t="n">
        <f aca="false">INDEX($C$38:$BJ$38,1,36)</f>
        <v>4</v>
      </c>
      <c r="F75" s="39" t="n">
        <f aca="false">INDEX($C$38:$BJ$38,1,48)</f>
        <v>5</v>
      </c>
      <c r="G75" s="39" t="n">
        <f aca="false">INDEX($C$38:$BJ$38,1,60)</f>
        <v>6</v>
      </c>
    </row>
    <row r="76" customFormat="false" ht="15" hidden="false" customHeight="true" outlineLevel="0" collapsed="false">
      <c r="A76" s="10" t="s">
        <v>277</v>
      </c>
      <c r="C76" s="41" t="n">
        <f aca="false">IF(C75=0,0,C57/C75)</f>
        <v>9.975</v>
      </c>
      <c r="D76" s="41" t="n">
        <f aca="false">IF(D75=0,0,D57/D75)</f>
        <v>36.44865</v>
      </c>
      <c r="E76" s="41" t="n">
        <f aca="false">IF(E75=0,0,E57/E75)</f>
        <v>61.035778125</v>
      </c>
      <c r="F76" s="41" t="n">
        <f aca="false">IF(F75=0,0,F57/F75)</f>
        <v>84.526304625</v>
      </c>
      <c r="G76" s="41" t="n">
        <f aca="false">IF(G75=0,0,G57/G75)</f>
        <v>103.059736171875</v>
      </c>
    </row>
    <row r="77" customFormat="false" ht="15" hidden="false" customHeight="true" outlineLevel="0" collapsed="false">
      <c r="A77" s="10" t="s">
        <v>278</v>
      </c>
      <c r="C77" s="44" t="n">
        <f aca="false">ROUNDUP((SUMIF($C$6:$BJ$6,1,$C$46:$BJ$46)+SUMIF($C$6:$BJ$6,1,$C$21:$BJ$21))/12/(INDEX($C$17:$BJ$17,1,12)*(1-Supuestos!$C$30)-Supuestos!$C$29*(1+Supuestos!$C$39)^(1-1)),0)</f>
        <v>39</v>
      </c>
      <c r="D77" s="44" t="n">
        <f aca="false">ROUNDUP((SUMIF($C$6:$BJ$6,2,$C$46:$BJ$46)+SUMIF($C$6:$BJ$6,2,$C$21:$BJ$21))/12/(INDEX($C$17:$BJ$17,1,24)*(1-Supuestos!$C$30)-Supuestos!$C$29*(1+Supuestos!$C$39)^(2-1)),0)</f>
        <v>61</v>
      </c>
      <c r="E77" s="44" t="n">
        <f aca="false">ROUNDUP((SUMIF($C$6:$BJ$6,3,$C$46:$BJ$46)+SUMIF($C$6:$BJ$6,3,$C$21:$BJ$21))/12/(INDEX($C$17:$BJ$17,1,36)*(1-Supuestos!$C$30)-Supuestos!$C$29*(1+Supuestos!$C$39)^(3-1)),0)</f>
        <v>510</v>
      </c>
      <c r="F77" s="44" t="n">
        <f aca="false">ROUNDUP((SUMIF($C$6:$BJ$6,4,$C$46:$BJ$46)+SUMIF($C$6:$BJ$6,4,$C$21:$BJ$21))/12/(INDEX($C$17:$BJ$17,1,48)*(1-Supuestos!$C$30)-Supuestos!$C$29*(1+Supuestos!$C$39)^(4-1)),0)</f>
        <v>612</v>
      </c>
      <c r="G77" s="44" t="n">
        <f aca="false">ROUNDUP((SUMIF($C$6:$BJ$6,5,$C$46:$BJ$46)+SUMIF($C$6:$BJ$6,5,$C$21:$BJ$21))/12/(INDEX($C$17:$BJ$17,1,60)*(1-Supuestos!$C$30)-Supuestos!$C$29*(1+Supuestos!$C$39)^(5-1)),0)</f>
        <v>718</v>
      </c>
    </row>
    <row r="79" customFormat="false" ht="15" hidden="false" customHeight="true" outlineLevel="0" collapsed="false">
      <c r="A79" s="8" t="s">
        <v>279</v>
      </c>
      <c r="B79" s="9"/>
      <c r="C79" s="9"/>
      <c r="D79" s="9"/>
      <c r="E79" s="9"/>
      <c r="F79" s="9"/>
      <c r="G79" s="9"/>
      <c r="H79" s="9"/>
    </row>
    <row r="80" customFormat="false" ht="15" hidden="false" customHeight="true" outlineLevel="0" collapsed="false">
      <c r="A80" s="10" t="s">
        <v>216</v>
      </c>
      <c r="C80" s="42" t="n">
        <f aca="false">B71+NPV(Supuestos!$C$75,C71:G71)</f>
        <v>102.135639287027</v>
      </c>
    </row>
    <row r="81" customFormat="false" ht="15" hidden="false" customHeight="true" outlineLevel="0" collapsed="false">
      <c r="A81" s="10" t="s">
        <v>217</v>
      </c>
      <c r="C81" s="48" t="n">
        <f aca="false">IFERROR(IRR(B71:G71),"No existe")</f>
        <v>7.33386200616087</v>
      </c>
    </row>
    <row r="82" customFormat="false" ht="15" hidden="false" customHeight="true" outlineLevel="0" collapsed="false">
      <c r="A82" s="10" t="s">
        <v>218</v>
      </c>
      <c r="C82" s="46" t="n">
        <f aca="false">IFERROR(MATCH(1,C73:G73,0),"Más de 5 años")</f>
        <v>1</v>
      </c>
    </row>
    <row r="83" customFormat="false" ht="15" hidden="false" customHeight="true" outlineLevel="0" collapsed="false">
      <c r="A83" s="10" t="s">
        <v>219</v>
      </c>
      <c r="C83" s="42" t="n">
        <f aca="false">-MIN(0,MIN($C$48:$BJ$48))/1000000</f>
        <v>3.491569132</v>
      </c>
    </row>
    <row r="84" customFormat="false" ht="15" hidden="false" customHeight="true" outlineLevel="0" collapsed="false">
      <c r="A84" s="10" t="s">
        <v>220</v>
      </c>
      <c r="C84" s="46" t="n">
        <f aca="false">IFERROR(MATCH(TRUE(),INDEX($C$47:$BJ$47&gt;0,0),0),"No ocurre en 5 años")</f>
        <v>5</v>
      </c>
    </row>
    <row r="86" customFormat="false" ht="15" hidden="false" customHeight="false" outlineLevel="0" collapsed="false">
      <c r="A86" s="28" t="s">
        <v>160</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row>
    <row r="87" customFormat="false" ht="15" hidden="false" customHeight="false" outlineLevel="0" collapsed="false">
      <c r="A87" s="16" t="s">
        <v>280</v>
      </c>
      <c r="B87" s="7" t="s">
        <v>109</v>
      </c>
      <c r="C87" s="46" t="n">
        <f aca="false">Supuestos!$C$51-C35</f>
        <v>3</v>
      </c>
      <c r="D87" s="46" t="n">
        <f aca="false">Supuestos!$C$51-D35</f>
        <v>3</v>
      </c>
      <c r="E87" s="46" t="n">
        <f aca="false">Supuestos!$C$51-E35</f>
        <v>3</v>
      </c>
      <c r="F87" s="46" t="n">
        <f aca="false">Supuestos!$C$51-F35</f>
        <v>3</v>
      </c>
      <c r="G87" s="46" t="n">
        <f aca="false">Supuestos!$C$51-G35</f>
        <v>3</v>
      </c>
      <c r="H87" s="46" t="n">
        <f aca="false">Supuestos!$C$51-H35</f>
        <v>3</v>
      </c>
      <c r="I87" s="46" t="n">
        <f aca="false">Supuestos!$C$51-I35</f>
        <v>3</v>
      </c>
      <c r="J87" s="46" t="n">
        <f aca="false">Supuestos!$C$51-J35</f>
        <v>3</v>
      </c>
      <c r="K87" s="46" t="n">
        <f aca="false">Supuestos!$C$51-K35</f>
        <v>3</v>
      </c>
      <c r="L87" s="46" t="n">
        <f aca="false">Supuestos!$C$51-L35</f>
        <v>3</v>
      </c>
      <c r="M87" s="46" t="n">
        <f aca="false">Supuestos!$C$51-M35</f>
        <v>3</v>
      </c>
      <c r="N87" s="46" t="n">
        <f aca="false">Supuestos!$C$51-N35</f>
        <v>3</v>
      </c>
      <c r="O87" s="46" t="n">
        <f aca="false">Supuestos!$C$51-O35</f>
        <v>3</v>
      </c>
      <c r="P87" s="46" t="n">
        <f aca="false">Supuestos!$C$51-P35</f>
        <v>3</v>
      </c>
      <c r="Q87" s="46" t="n">
        <f aca="false">Supuestos!$C$51-Q35</f>
        <v>3</v>
      </c>
      <c r="R87" s="46" t="n">
        <f aca="false">Supuestos!$C$51-R35</f>
        <v>3</v>
      </c>
      <c r="S87" s="46" t="n">
        <f aca="false">Supuestos!$C$51-S35</f>
        <v>3</v>
      </c>
      <c r="T87" s="46" t="n">
        <f aca="false">Supuestos!$C$51-T35</f>
        <v>3</v>
      </c>
      <c r="U87" s="46" t="n">
        <f aca="false">Supuestos!$C$51-U35</f>
        <v>3</v>
      </c>
      <c r="V87" s="46" t="n">
        <f aca="false">Supuestos!$C$51-V35</f>
        <v>3</v>
      </c>
      <c r="W87" s="46" t="n">
        <f aca="false">Supuestos!$C$51-W35</f>
        <v>3</v>
      </c>
      <c r="X87" s="46" t="n">
        <f aca="false">Supuestos!$C$51-X35</f>
        <v>3</v>
      </c>
      <c r="Y87" s="46" t="n">
        <f aca="false">Supuestos!$C$51-Y35</f>
        <v>3</v>
      </c>
      <c r="Z87" s="46" t="n">
        <f aca="false">Supuestos!$C$51-Z35</f>
        <v>3</v>
      </c>
      <c r="AA87" s="46" t="n">
        <f aca="false">Supuestos!$C$51-AA35</f>
        <v>0</v>
      </c>
      <c r="AB87" s="46" t="n">
        <f aca="false">Supuestos!$C$51-AB35</f>
        <v>0</v>
      </c>
      <c r="AC87" s="46" t="n">
        <f aca="false">Supuestos!$C$51-AC35</f>
        <v>0</v>
      </c>
      <c r="AD87" s="46" t="n">
        <f aca="false">Supuestos!$C$51-AD35</f>
        <v>0</v>
      </c>
      <c r="AE87" s="46" t="n">
        <f aca="false">Supuestos!$C$51-AE35</f>
        <v>0</v>
      </c>
      <c r="AF87" s="46" t="n">
        <f aca="false">Supuestos!$C$51-AF35</f>
        <v>0</v>
      </c>
      <c r="AG87" s="46" t="n">
        <f aca="false">Supuestos!$C$51-AG35</f>
        <v>0</v>
      </c>
      <c r="AH87" s="46" t="n">
        <f aca="false">Supuestos!$C$51-AH35</f>
        <v>0</v>
      </c>
      <c r="AI87" s="46" t="n">
        <f aca="false">Supuestos!$C$51-AI35</f>
        <v>0</v>
      </c>
      <c r="AJ87" s="46" t="n">
        <f aca="false">Supuestos!$C$51-AJ35</f>
        <v>0</v>
      </c>
      <c r="AK87" s="46" t="n">
        <f aca="false">Supuestos!$C$51-AK35</f>
        <v>0</v>
      </c>
      <c r="AL87" s="46" t="n">
        <f aca="false">Supuestos!$C$51-AL35</f>
        <v>0</v>
      </c>
      <c r="AM87" s="46" t="n">
        <f aca="false">Supuestos!$C$51-AM35</f>
        <v>0</v>
      </c>
      <c r="AN87" s="46" t="n">
        <f aca="false">Supuestos!$C$51-AN35</f>
        <v>0</v>
      </c>
      <c r="AO87" s="46" t="n">
        <f aca="false">Supuestos!$C$51-AO35</f>
        <v>0</v>
      </c>
      <c r="AP87" s="46" t="n">
        <f aca="false">Supuestos!$C$51-AP35</f>
        <v>0</v>
      </c>
      <c r="AQ87" s="46" t="n">
        <f aca="false">Supuestos!$C$51-AQ35</f>
        <v>0</v>
      </c>
      <c r="AR87" s="46" t="n">
        <f aca="false">Supuestos!$C$51-AR35</f>
        <v>0</v>
      </c>
      <c r="AS87" s="46" t="n">
        <f aca="false">Supuestos!$C$51-AS35</f>
        <v>0</v>
      </c>
      <c r="AT87" s="46" t="n">
        <f aca="false">Supuestos!$C$51-AT35</f>
        <v>0</v>
      </c>
      <c r="AU87" s="46" t="n">
        <f aca="false">Supuestos!$C$51-AU35</f>
        <v>0</v>
      </c>
      <c r="AV87" s="46" t="n">
        <f aca="false">Supuestos!$C$51-AV35</f>
        <v>0</v>
      </c>
      <c r="AW87" s="46" t="n">
        <f aca="false">Supuestos!$C$51-AW35</f>
        <v>0</v>
      </c>
      <c r="AX87" s="46" t="n">
        <f aca="false">Supuestos!$C$51-AX35</f>
        <v>0</v>
      </c>
      <c r="AY87" s="46" t="n">
        <f aca="false">Supuestos!$C$51-AY35</f>
        <v>0</v>
      </c>
      <c r="AZ87" s="46" t="n">
        <f aca="false">Supuestos!$C$51-AZ35</f>
        <v>0</v>
      </c>
      <c r="BA87" s="46" t="n">
        <f aca="false">Supuestos!$C$51-BA35</f>
        <v>0</v>
      </c>
      <c r="BB87" s="46" t="n">
        <f aca="false">Supuestos!$C$51-BB35</f>
        <v>0</v>
      </c>
      <c r="BC87" s="46" t="n">
        <f aca="false">Supuestos!$C$51-BC35</f>
        <v>0</v>
      </c>
      <c r="BD87" s="46" t="n">
        <f aca="false">Supuestos!$C$51-BD35</f>
        <v>0</v>
      </c>
      <c r="BE87" s="46" t="n">
        <f aca="false">Supuestos!$C$51-BE35</f>
        <v>0</v>
      </c>
      <c r="BF87" s="46" t="n">
        <f aca="false">Supuestos!$C$51-BF35</f>
        <v>0</v>
      </c>
      <c r="BG87" s="46" t="n">
        <f aca="false">Supuestos!$C$51-BG35</f>
        <v>0</v>
      </c>
      <c r="BH87" s="46" t="n">
        <f aca="false">Supuestos!$C$51-BH35</f>
        <v>0</v>
      </c>
      <c r="BI87" s="46" t="n">
        <f aca="false">Supuestos!$C$51-BI35</f>
        <v>0</v>
      </c>
      <c r="BJ87" s="46" t="n">
        <f aca="false">Supuestos!$C$51-BJ35</f>
        <v>0</v>
      </c>
    </row>
    <row r="88" customFormat="false" ht="15" hidden="false" customHeight="false" outlineLevel="0" collapsed="false">
      <c r="A88" s="10" t="s">
        <v>281</v>
      </c>
      <c r="B88" s="7" t="s">
        <v>146</v>
      </c>
      <c r="C88" s="43" t="n">
        <f aca="false">C87*(Supuestos!$C$84/1000*(C31/Supuestos!$C$51)*Supuestos!$C$83+Supuestos!$C$85*MIN(1,(C31/Supuestos!$C$51)/Supuestos!$C$86))*(1+Supuestos!$C$39)^(C6-1)</f>
        <v>45544.98</v>
      </c>
      <c r="D88" s="43" t="n">
        <f aca="false">D87*(Supuestos!$C$84/1000*(D31/Supuestos!$C$51)*Supuestos!$C$83+Supuestos!$C$85*MIN(1,(D31/Supuestos!$C$51)/Supuestos!$C$86))*(1+Supuestos!$C$39)^(D6-1)</f>
        <v>45544.98</v>
      </c>
      <c r="E88" s="43" t="n">
        <f aca="false">E87*(Supuestos!$C$84/1000*(E31/Supuestos!$C$51)*Supuestos!$C$83+Supuestos!$C$85*MIN(1,(E31/Supuestos!$C$51)/Supuestos!$C$86))*(1+Supuestos!$C$39)^(E6-1)</f>
        <v>45544.98</v>
      </c>
      <c r="F88" s="43" t="n">
        <f aca="false">F87*(Supuestos!$C$84/1000*(F31/Supuestos!$C$51)*Supuestos!$C$83+Supuestos!$C$85*MIN(1,(F31/Supuestos!$C$51)/Supuestos!$C$86))*(1+Supuestos!$C$39)^(F6-1)</f>
        <v>45544.98</v>
      </c>
      <c r="G88" s="43" t="n">
        <f aca="false">G87*(Supuestos!$C$84/1000*(G31/Supuestos!$C$51)*Supuestos!$C$83+Supuestos!$C$85*MIN(1,(G31/Supuestos!$C$51)/Supuestos!$C$86))*(1+Supuestos!$C$39)^(G6-1)</f>
        <v>45544.98</v>
      </c>
      <c r="H88" s="43" t="n">
        <f aca="false">H87*(Supuestos!$C$84/1000*(H31/Supuestos!$C$51)*Supuestos!$C$83+Supuestos!$C$85*MIN(1,(H31/Supuestos!$C$51)/Supuestos!$C$86))*(1+Supuestos!$C$39)^(H6-1)</f>
        <v>45544.98</v>
      </c>
      <c r="I88" s="43" t="n">
        <f aca="false">I87*(Supuestos!$C$84/1000*(I31/Supuestos!$C$51)*Supuestos!$C$83+Supuestos!$C$85*MIN(1,(I31/Supuestos!$C$51)/Supuestos!$C$86))*(1+Supuestos!$C$39)^(I6-1)</f>
        <v>45544.98</v>
      </c>
      <c r="J88" s="43" t="n">
        <f aca="false">J87*(Supuestos!$C$84/1000*(J31/Supuestos!$C$51)*Supuestos!$C$83+Supuestos!$C$85*MIN(1,(J31/Supuestos!$C$51)/Supuestos!$C$86))*(1+Supuestos!$C$39)^(J6-1)</f>
        <v>45544.98</v>
      </c>
      <c r="K88" s="43" t="n">
        <f aca="false">K87*(Supuestos!$C$84/1000*(K31/Supuestos!$C$51)*Supuestos!$C$83+Supuestos!$C$85*MIN(1,(K31/Supuestos!$C$51)/Supuestos!$C$86))*(1+Supuestos!$C$39)^(K6-1)</f>
        <v>45544.98</v>
      </c>
      <c r="L88" s="43" t="n">
        <f aca="false">L87*(Supuestos!$C$84/1000*(L31/Supuestos!$C$51)*Supuestos!$C$83+Supuestos!$C$85*MIN(1,(L31/Supuestos!$C$51)/Supuestos!$C$86))*(1+Supuestos!$C$39)^(L6-1)</f>
        <v>45544.98</v>
      </c>
      <c r="M88" s="43" t="n">
        <f aca="false">M87*(Supuestos!$C$84/1000*(M31/Supuestos!$C$51)*Supuestos!$C$83+Supuestos!$C$85*MIN(1,(M31/Supuestos!$C$51)/Supuestos!$C$86))*(1+Supuestos!$C$39)^(M6-1)</f>
        <v>45544.98</v>
      </c>
      <c r="N88" s="43" t="n">
        <f aca="false">N87*(Supuestos!$C$84/1000*(N31/Supuestos!$C$51)*Supuestos!$C$83+Supuestos!$C$85*MIN(1,(N31/Supuestos!$C$51)/Supuestos!$C$86))*(1+Supuestos!$C$39)^(N6-1)</f>
        <v>45544.98</v>
      </c>
      <c r="O88" s="43" t="n">
        <f aca="false">O87*(Supuestos!$C$84/1000*(O31/Supuestos!$C$51)*Supuestos!$C$83+Supuestos!$C$85*MIN(1,(O31/Supuestos!$C$51)/Supuestos!$C$86))*(1+Supuestos!$C$39)^(O6-1)</f>
        <v>71733.3435</v>
      </c>
      <c r="P88" s="43" t="n">
        <f aca="false">P87*(Supuestos!$C$84/1000*(P31/Supuestos!$C$51)*Supuestos!$C$83+Supuestos!$C$85*MIN(1,(P31/Supuestos!$C$51)/Supuestos!$C$86))*(1+Supuestos!$C$39)^(P6-1)</f>
        <v>71733.3435</v>
      </c>
      <c r="Q88" s="43" t="n">
        <f aca="false">Q87*(Supuestos!$C$84/1000*(Q31/Supuestos!$C$51)*Supuestos!$C$83+Supuestos!$C$85*MIN(1,(Q31/Supuestos!$C$51)/Supuestos!$C$86))*(1+Supuestos!$C$39)^(Q6-1)</f>
        <v>71733.3435</v>
      </c>
      <c r="R88" s="43" t="n">
        <f aca="false">R87*(Supuestos!$C$84/1000*(R31/Supuestos!$C$51)*Supuestos!$C$83+Supuestos!$C$85*MIN(1,(R31/Supuestos!$C$51)/Supuestos!$C$86))*(1+Supuestos!$C$39)^(R6-1)</f>
        <v>71733.3435</v>
      </c>
      <c r="S88" s="43" t="n">
        <f aca="false">S87*(Supuestos!$C$84/1000*(S31/Supuestos!$C$51)*Supuestos!$C$83+Supuestos!$C$85*MIN(1,(S31/Supuestos!$C$51)/Supuestos!$C$86))*(1+Supuestos!$C$39)^(S6-1)</f>
        <v>71733.3435</v>
      </c>
      <c r="T88" s="43" t="n">
        <f aca="false">T87*(Supuestos!$C$84/1000*(T31/Supuestos!$C$51)*Supuestos!$C$83+Supuestos!$C$85*MIN(1,(T31/Supuestos!$C$51)/Supuestos!$C$86))*(1+Supuestos!$C$39)^(T6-1)</f>
        <v>71733.3435</v>
      </c>
      <c r="U88" s="43" t="n">
        <f aca="false">U87*(Supuestos!$C$84/1000*(U31/Supuestos!$C$51)*Supuestos!$C$83+Supuestos!$C$85*MIN(1,(U31/Supuestos!$C$51)/Supuestos!$C$86))*(1+Supuestos!$C$39)^(U6-1)</f>
        <v>71733.3435</v>
      </c>
      <c r="V88" s="43" t="n">
        <f aca="false">V87*(Supuestos!$C$84/1000*(V31/Supuestos!$C$51)*Supuestos!$C$83+Supuestos!$C$85*MIN(1,(V31/Supuestos!$C$51)/Supuestos!$C$86))*(1+Supuestos!$C$39)^(V6-1)</f>
        <v>71733.3435</v>
      </c>
      <c r="W88" s="43" t="n">
        <f aca="false">W87*(Supuestos!$C$84/1000*(W31/Supuestos!$C$51)*Supuestos!$C$83+Supuestos!$C$85*MIN(1,(W31/Supuestos!$C$51)/Supuestos!$C$86))*(1+Supuestos!$C$39)^(W6-1)</f>
        <v>71733.3435</v>
      </c>
      <c r="X88" s="43" t="n">
        <f aca="false">X87*(Supuestos!$C$84/1000*(X31/Supuestos!$C$51)*Supuestos!$C$83+Supuestos!$C$85*MIN(1,(X31/Supuestos!$C$51)/Supuestos!$C$86))*(1+Supuestos!$C$39)^(X6-1)</f>
        <v>71733.3435</v>
      </c>
      <c r="Y88" s="43" t="n">
        <f aca="false">Y87*(Supuestos!$C$84/1000*(Y31/Supuestos!$C$51)*Supuestos!$C$83+Supuestos!$C$85*MIN(1,(Y31/Supuestos!$C$51)/Supuestos!$C$86))*(1+Supuestos!$C$39)^(Y6-1)</f>
        <v>71733.3435</v>
      </c>
      <c r="Z88" s="43" t="n">
        <f aca="false">Z87*(Supuestos!$C$84/1000*(Z31/Supuestos!$C$51)*Supuestos!$C$83+Supuestos!$C$85*MIN(1,(Z31/Supuestos!$C$51)/Supuestos!$C$86))*(1+Supuestos!$C$39)^(Z6-1)</f>
        <v>71733.3435</v>
      </c>
      <c r="AA88" s="43" t="n">
        <f aca="false">AA87*(Supuestos!$C$84/1000*(AA31/Supuestos!$C$51)*Supuestos!$C$83+Supuestos!$C$85*MIN(1,(AA31/Supuestos!$C$51)/Supuestos!$C$86))*(1+Supuestos!$C$39)^(AA6-1)</f>
        <v>0</v>
      </c>
      <c r="AB88" s="43" t="n">
        <f aca="false">AB87*(Supuestos!$C$84/1000*(AB31/Supuestos!$C$51)*Supuestos!$C$83+Supuestos!$C$85*MIN(1,(AB31/Supuestos!$C$51)/Supuestos!$C$86))*(1+Supuestos!$C$39)^(AB6-1)</f>
        <v>0</v>
      </c>
      <c r="AC88" s="43" t="n">
        <f aca="false">AC87*(Supuestos!$C$84/1000*(AC31/Supuestos!$C$51)*Supuestos!$C$83+Supuestos!$C$85*MIN(1,(AC31/Supuestos!$C$51)/Supuestos!$C$86))*(1+Supuestos!$C$39)^(AC6-1)</f>
        <v>0</v>
      </c>
      <c r="AD88" s="43" t="n">
        <f aca="false">AD87*(Supuestos!$C$84/1000*(AD31/Supuestos!$C$51)*Supuestos!$C$83+Supuestos!$C$85*MIN(1,(AD31/Supuestos!$C$51)/Supuestos!$C$86))*(1+Supuestos!$C$39)^(AD6-1)</f>
        <v>0</v>
      </c>
      <c r="AE88" s="43" t="n">
        <f aca="false">AE87*(Supuestos!$C$84/1000*(AE31/Supuestos!$C$51)*Supuestos!$C$83+Supuestos!$C$85*MIN(1,(AE31/Supuestos!$C$51)/Supuestos!$C$86))*(1+Supuestos!$C$39)^(AE6-1)</f>
        <v>0</v>
      </c>
      <c r="AF88" s="43" t="n">
        <f aca="false">AF87*(Supuestos!$C$84/1000*(AF31/Supuestos!$C$51)*Supuestos!$C$83+Supuestos!$C$85*MIN(1,(AF31/Supuestos!$C$51)/Supuestos!$C$86))*(1+Supuestos!$C$39)^(AF6-1)</f>
        <v>0</v>
      </c>
      <c r="AG88" s="43" t="n">
        <f aca="false">AG87*(Supuestos!$C$84/1000*(AG31/Supuestos!$C$51)*Supuestos!$C$83+Supuestos!$C$85*MIN(1,(AG31/Supuestos!$C$51)/Supuestos!$C$86))*(1+Supuestos!$C$39)^(AG6-1)</f>
        <v>0</v>
      </c>
      <c r="AH88" s="43" t="n">
        <f aca="false">AH87*(Supuestos!$C$84/1000*(AH31/Supuestos!$C$51)*Supuestos!$C$83+Supuestos!$C$85*MIN(1,(AH31/Supuestos!$C$51)/Supuestos!$C$86))*(1+Supuestos!$C$39)^(AH6-1)</f>
        <v>0</v>
      </c>
      <c r="AI88" s="43" t="n">
        <f aca="false">AI87*(Supuestos!$C$84/1000*(AI31/Supuestos!$C$51)*Supuestos!$C$83+Supuestos!$C$85*MIN(1,(AI31/Supuestos!$C$51)/Supuestos!$C$86))*(1+Supuestos!$C$39)^(AI6-1)</f>
        <v>0</v>
      </c>
      <c r="AJ88" s="43" t="n">
        <f aca="false">AJ87*(Supuestos!$C$84/1000*(AJ31/Supuestos!$C$51)*Supuestos!$C$83+Supuestos!$C$85*MIN(1,(AJ31/Supuestos!$C$51)/Supuestos!$C$86))*(1+Supuestos!$C$39)^(AJ6-1)</f>
        <v>0</v>
      </c>
      <c r="AK88" s="43" t="n">
        <f aca="false">AK87*(Supuestos!$C$84/1000*(AK31/Supuestos!$C$51)*Supuestos!$C$83+Supuestos!$C$85*MIN(1,(AK31/Supuestos!$C$51)/Supuestos!$C$86))*(1+Supuestos!$C$39)^(AK6-1)</f>
        <v>0</v>
      </c>
      <c r="AL88" s="43" t="n">
        <f aca="false">AL87*(Supuestos!$C$84/1000*(AL31/Supuestos!$C$51)*Supuestos!$C$83+Supuestos!$C$85*MIN(1,(AL31/Supuestos!$C$51)/Supuestos!$C$86))*(1+Supuestos!$C$39)^(AL6-1)</f>
        <v>0</v>
      </c>
      <c r="AM88" s="43" t="n">
        <f aca="false">AM87*(Supuestos!$C$84/1000*(AM31/Supuestos!$C$51)*Supuestos!$C$83+Supuestos!$C$85*MIN(1,(AM31/Supuestos!$C$51)/Supuestos!$C$86))*(1+Supuestos!$C$39)^(AM6-1)</f>
        <v>0</v>
      </c>
      <c r="AN88" s="43" t="n">
        <f aca="false">AN87*(Supuestos!$C$84/1000*(AN31/Supuestos!$C$51)*Supuestos!$C$83+Supuestos!$C$85*MIN(1,(AN31/Supuestos!$C$51)/Supuestos!$C$86))*(1+Supuestos!$C$39)^(AN6-1)</f>
        <v>0</v>
      </c>
      <c r="AO88" s="43" t="n">
        <f aca="false">AO87*(Supuestos!$C$84/1000*(AO31/Supuestos!$C$51)*Supuestos!$C$83+Supuestos!$C$85*MIN(1,(AO31/Supuestos!$C$51)/Supuestos!$C$86))*(1+Supuestos!$C$39)^(AO6-1)</f>
        <v>0</v>
      </c>
      <c r="AP88" s="43" t="n">
        <f aca="false">AP87*(Supuestos!$C$84/1000*(AP31/Supuestos!$C$51)*Supuestos!$C$83+Supuestos!$C$85*MIN(1,(AP31/Supuestos!$C$51)/Supuestos!$C$86))*(1+Supuestos!$C$39)^(AP6-1)</f>
        <v>0</v>
      </c>
      <c r="AQ88" s="43" t="n">
        <f aca="false">AQ87*(Supuestos!$C$84/1000*(AQ31/Supuestos!$C$51)*Supuestos!$C$83+Supuestos!$C$85*MIN(1,(AQ31/Supuestos!$C$51)/Supuestos!$C$86))*(1+Supuestos!$C$39)^(AQ6-1)</f>
        <v>0</v>
      </c>
      <c r="AR88" s="43" t="n">
        <f aca="false">AR87*(Supuestos!$C$84/1000*(AR31/Supuestos!$C$51)*Supuestos!$C$83+Supuestos!$C$85*MIN(1,(AR31/Supuestos!$C$51)/Supuestos!$C$86))*(1+Supuestos!$C$39)^(AR6-1)</f>
        <v>0</v>
      </c>
      <c r="AS88" s="43" t="n">
        <f aca="false">AS87*(Supuestos!$C$84/1000*(AS31/Supuestos!$C$51)*Supuestos!$C$83+Supuestos!$C$85*MIN(1,(AS31/Supuestos!$C$51)/Supuestos!$C$86))*(1+Supuestos!$C$39)^(AS6-1)</f>
        <v>0</v>
      </c>
      <c r="AT88" s="43" t="n">
        <f aca="false">AT87*(Supuestos!$C$84/1000*(AT31/Supuestos!$C$51)*Supuestos!$C$83+Supuestos!$C$85*MIN(1,(AT31/Supuestos!$C$51)/Supuestos!$C$86))*(1+Supuestos!$C$39)^(AT6-1)</f>
        <v>0</v>
      </c>
      <c r="AU88" s="43" t="n">
        <f aca="false">AU87*(Supuestos!$C$84/1000*(AU31/Supuestos!$C$51)*Supuestos!$C$83+Supuestos!$C$85*MIN(1,(AU31/Supuestos!$C$51)/Supuestos!$C$86))*(1+Supuestos!$C$39)^(AU6-1)</f>
        <v>0</v>
      </c>
      <c r="AV88" s="43" t="n">
        <f aca="false">AV87*(Supuestos!$C$84/1000*(AV31/Supuestos!$C$51)*Supuestos!$C$83+Supuestos!$C$85*MIN(1,(AV31/Supuestos!$C$51)/Supuestos!$C$86))*(1+Supuestos!$C$39)^(AV6-1)</f>
        <v>0</v>
      </c>
      <c r="AW88" s="43" t="n">
        <f aca="false">AW87*(Supuestos!$C$84/1000*(AW31/Supuestos!$C$51)*Supuestos!$C$83+Supuestos!$C$85*MIN(1,(AW31/Supuestos!$C$51)/Supuestos!$C$86))*(1+Supuestos!$C$39)^(AW6-1)</f>
        <v>0</v>
      </c>
      <c r="AX88" s="43" t="n">
        <f aca="false">AX87*(Supuestos!$C$84/1000*(AX31/Supuestos!$C$51)*Supuestos!$C$83+Supuestos!$C$85*MIN(1,(AX31/Supuestos!$C$51)/Supuestos!$C$86))*(1+Supuestos!$C$39)^(AX6-1)</f>
        <v>0</v>
      </c>
      <c r="AY88" s="43" t="n">
        <f aca="false">AY87*(Supuestos!$C$84/1000*(AY31/Supuestos!$C$51)*Supuestos!$C$83+Supuestos!$C$85*MIN(1,(AY31/Supuestos!$C$51)/Supuestos!$C$86))*(1+Supuestos!$C$39)^(AY6-1)</f>
        <v>0</v>
      </c>
      <c r="AZ88" s="43" t="n">
        <f aca="false">AZ87*(Supuestos!$C$84/1000*(AZ31/Supuestos!$C$51)*Supuestos!$C$83+Supuestos!$C$85*MIN(1,(AZ31/Supuestos!$C$51)/Supuestos!$C$86))*(1+Supuestos!$C$39)^(AZ6-1)</f>
        <v>0</v>
      </c>
      <c r="BA88" s="43" t="n">
        <f aca="false">BA87*(Supuestos!$C$84/1000*(BA31/Supuestos!$C$51)*Supuestos!$C$83+Supuestos!$C$85*MIN(1,(BA31/Supuestos!$C$51)/Supuestos!$C$86))*(1+Supuestos!$C$39)^(BA6-1)</f>
        <v>0</v>
      </c>
      <c r="BB88" s="43" t="n">
        <f aca="false">BB87*(Supuestos!$C$84/1000*(BB31/Supuestos!$C$51)*Supuestos!$C$83+Supuestos!$C$85*MIN(1,(BB31/Supuestos!$C$51)/Supuestos!$C$86))*(1+Supuestos!$C$39)^(BB6-1)</f>
        <v>0</v>
      </c>
      <c r="BC88" s="43" t="n">
        <f aca="false">BC87*(Supuestos!$C$84/1000*(BC31/Supuestos!$C$51)*Supuestos!$C$83+Supuestos!$C$85*MIN(1,(BC31/Supuestos!$C$51)/Supuestos!$C$86))*(1+Supuestos!$C$39)^(BC6-1)</f>
        <v>0</v>
      </c>
      <c r="BD88" s="43" t="n">
        <f aca="false">BD87*(Supuestos!$C$84/1000*(BD31/Supuestos!$C$51)*Supuestos!$C$83+Supuestos!$C$85*MIN(1,(BD31/Supuestos!$C$51)/Supuestos!$C$86))*(1+Supuestos!$C$39)^(BD6-1)</f>
        <v>0</v>
      </c>
      <c r="BE88" s="43" t="n">
        <f aca="false">BE87*(Supuestos!$C$84/1000*(BE31/Supuestos!$C$51)*Supuestos!$C$83+Supuestos!$C$85*MIN(1,(BE31/Supuestos!$C$51)/Supuestos!$C$86))*(1+Supuestos!$C$39)^(BE6-1)</f>
        <v>0</v>
      </c>
      <c r="BF88" s="43" t="n">
        <f aca="false">BF87*(Supuestos!$C$84/1000*(BF31/Supuestos!$C$51)*Supuestos!$C$83+Supuestos!$C$85*MIN(1,(BF31/Supuestos!$C$51)/Supuestos!$C$86))*(1+Supuestos!$C$39)^(BF6-1)</f>
        <v>0</v>
      </c>
      <c r="BG88" s="43" t="n">
        <f aca="false">BG87*(Supuestos!$C$84/1000*(BG31/Supuestos!$C$51)*Supuestos!$C$83+Supuestos!$C$85*MIN(1,(BG31/Supuestos!$C$51)/Supuestos!$C$86))*(1+Supuestos!$C$39)^(BG6-1)</f>
        <v>0</v>
      </c>
      <c r="BH88" s="43" t="n">
        <f aca="false">BH87*(Supuestos!$C$84/1000*(BH31/Supuestos!$C$51)*Supuestos!$C$83+Supuestos!$C$85*MIN(1,(BH31/Supuestos!$C$51)/Supuestos!$C$86))*(1+Supuestos!$C$39)^(BH6-1)</f>
        <v>0</v>
      </c>
      <c r="BI88" s="43" t="n">
        <f aca="false">BI87*(Supuestos!$C$84/1000*(BI31/Supuestos!$C$51)*Supuestos!$C$83+Supuestos!$C$85*MIN(1,(BI31/Supuestos!$C$51)/Supuestos!$C$86))*(1+Supuestos!$C$39)^(BI6-1)</f>
        <v>0</v>
      </c>
      <c r="BJ88" s="43" t="n">
        <f aca="false">BJ87*(Supuestos!$C$84/1000*(BJ31/Supuestos!$C$51)*Supuestos!$C$83+Supuestos!$C$85*MIN(1,(BJ31/Supuestos!$C$51)/Supuestos!$C$86))*(1+Supuestos!$C$39)^(BJ6-1)</f>
        <v>0</v>
      </c>
    </row>
    <row r="89" customFormat="false" ht="15" hidden="false" customHeight="false" outlineLevel="0" collapsed="false">
      <c r="A89" s="10" t="s">
        <v>282</v>
      </c>
      <c r="B89" s="7" t="s">
        <v>146</v>
      </c>
      <c r="C89" s="43" t="n">
        <f aca="false">Supuestos!$C$51*Supuestos!$C$87/Supuestos!$C$88*(1+Supuestos!$C$39)^(C6-1)</f>
        <v>125000</v>
      </c>
      <c r="D89" s="43" t="n">
        <f aca="false">Supuestos!$C$51*Supuestos!$C$87/Supuestos!$C$88*(1+Supuestos!$C$39)^(D6-1)</f>
        <v>125000</v>
      </c>
      <c r="E89" s="43" t="n">
        <f aca="false">Supuestos!$C$51*Supuestos!$C$87/Supuestos!$C$88*(1+Supuestos!$C$39)^(E6-1)</f>
        <v>125000</v>
      </c>
      <c r="F89" s="43" t="n">
        <f aca="false">Supuestos!$C$51*Supuestos!$C$87/Supuestos!$C$88*(1+Supuestos!$C$39)^(F6-1)</f>
        <v>125000</v>
      </c>
      <c r="G89" s="43" t="n">
        <f aca="false">Supuestos!$C$51*Supuestos!$C$87/Supuestos!$C$88*(1+Supuestos!$C$39)^(G6-1)</f>
        <v>125000</v>
      </c>
      <c r="H89" s="43" t="n">
        <f aca="false">Supuestos!$C$51*Supuestos!$C$87/Supuestos!$C$88*(1+Supuestos!$C$39)^(H6-1)</f>
        <v>125000</v>
      </c>
      <c r="I89" s="43" t="n">
        <f aca="false">Supuestos!$C$51*Supuestos!$C$87/Supuestos!$C$88*(1+Supuestos!$C$39)^(I6-1)</f>
        <v>125000</v>
      </c>
      <c r="J89" s="43" t="n">
        <f aca="false">Supuestos!$C$51*Supuestos!$C$87/Supuestos!$C$88*(1+Supuestos!$C$39)^(J6-1)</f>
        <v>125000</v>
      </c>
      <c r="K89" s="43" t="n">
        <f aca="false">Supuestos!$C$51*Supuestos!$C$87/Supuestos!$C$88*(1+Supuestos!$C$39)^(K6-1)</f>
        <v>125000</v>
      </c>
      <c r="L89" s="43" t="n">
        <f aca="false">Supuestos!$C$51*Supuestos!$C$87/Supuestos!$C$88*(1+Supuestos!$C$39)^(L6-1)</f>
        <v>125000</v>
      </c>
      <c r="M89" s="43" t="n">
        <f aca="false">Supuestos!$C$51*Supuestos!$C$87/Supuestos!$C$88*(1+Supuestos!$C$39)^(M6-1)</f>
        <v>125000</v>
      </c>
      <c r="N89" s="43" t="n">
        <f aca="false">Supuestos!$C$51*Supuestos!$C$87/Supuestos!$C$88*(1+Supuestos!$C$39)^(N6-1)</f>
        <v>125000</v>
      </c>
      <c r="O89" s="43" t="n">
        <f aca="false">Supuestos!$C$51*Supuestos!$C$87/Supuestos!$C$88*(1+Supuestos!$C$39)^(O6-1)</f>
        <v>131250</v>
      </c>
      <c r="P89" s="43" t="n">
        <f aca="false">Supuestos!$C$51*Supuestos!$C$87/Supuestos!$C$88*(1+Supuestos!$C$39)^(P6-1)</f>
        <v>131250</v>
      </c>
      <c r="Q89" s="43" t="n">
        <f aca="false">Supuestos!$C$51*Supuestos!$C$87/Supuestos!$C$88*(1+Supuestos!$C$39)^(Q6-1)</f>
        <v>131250</v>
      </c>
      <c r="R89" s="43" t="n">
        <f aca="false">Supuestos!$C$51*Supuestos!$C$87/Supuestos!$C$88*(1+Supuestos!$C$39)^(R6-1)</f>
        <v>131250</v>
      </c>
      <c r="S89" s="43" t="n">
        <f aca="false">Supuestos!$C$51*Supuestos!$C$87/Supuestos!$C$88*(1+Supuestos!$C$39)^(S6-1)</f>
        <v>131250</v>
      </c>
      <c r="T89" s="43" t="n">
        <f aca="false">Supuestos!$C$51*Supuestos!$C$87/Supuestos!$C$88*(1+Supuestos!$C$39)^(T6-1)</f>
        <v>131250</v>
      </c>
      <c r="U89" s="43" t="n">
        <f aca="false">Supuestos!$C$51*Supuestos!$C$87/Supuestos!$C$88*(1+Supuestos!$C$39)^(U6-1)</f>
        <v>131250</v>
      </c>
      <c r="V89" s="43" t="n">
        <f aca="false">Supuestos!$C$51*Supuestos!$C$87/Supuestos!$C$88*(1+Supuestos!$C$39)^(V6-1)</f>
        <v>131250</v>
      </c>
      <c r="W89" s="43" t="n">
        <f aca="false">Supuestos!$C$51*Supuestos!$C$87/Supuestos!$C$88*(1+Supuestos!$C$39)^(W6-1)</f>
        <v>131250</v>
      </c>
      <c r="X89" s="43" t="n">
        <f aca="false">Supuestos!$C$51*Supuestos!$C$87/Supuestos!$C$88*(1+Supuestos!$C$39)^(X6-1)</f>
        <v>131250</v>
      </c>
      <c r="Y89" s="43" t="n">
        <f aca="false">Supuestos!$C$51*Supuestos!$C$87/Supuestos!$C$88*(1+Supuestos!$C$39)^(Y6-1)</f>
        <v>131250</v>
      </c>
      <c r="Z89" s="43" t="n">
        <f aca="false">Supuestos!$C$51*Supuestos!$C$87/Supuestos!$C$88*(1+Supuestos!$C$39)^(Z6-1)</f>
        <v>131250</v>
      </c>
      <c r="AA89" s="43" t="n">
        <f aca="false">Supuestos!$C$51*Supuestos!$C$87/Supuestos!$C$88*(1+Supuestos!$C$39)^(AA6-1)</f>
        <v>137812.5</v>
      </c>
      <c r="AB89" s="43" t="n">
        <f aca="false">Supuestos!$C$51*Supuestos!$C$87/Supuestos!$C$88*(1+Supuestos!$C$39)^(AB6-1)</f>
        <v>137812.5</v>
      </c>
      <c r="AC89" s="43" t="n">
        <f aca="false">Supuestos!$C$51*Supuestos!$C$87/Supuestos!$C$88*(1+Supuestos!$C$39)^(AC6-1)</f>
        <v>137812.5</v>
      </c>
      <c r="AD89" s="43" t="n">
        <f aca="false">Supuestos!$C$51*Supuestos!$C$87/Supuestos!$C$88*(1+Supuestos!$C$39)^(AD6-1)</f>
        <v>137812.5</v>
      </c>
      <c r="AE89" s="43" t="n">
        <f aca="false">Supuestos!$C$51*Supuestos!$C$87/Supuestos!$C$88*(1+Supuestos!$C$39)^(AE6-1)</f>
        <v>137812.5</v>
      </c>
      <c r="AF89" s="43" t="n">
        <f aca="false">Supuestos!$C$51*Supuestos!$C$87/Supuestos!$C$88*(1+Supuestos!$C$39)^(AF6-1)</f>
        <v>137812.5</v>
      </c>
      <c r="AG89" s="43" t="n">
        <f aca="false">Supuestos!$C$51*Supuestos!$C$87/Supuestos!$C$88*(1+Supuestos!$C$39)^(AG6-1)</f>
        <v>137812.5</v>
      </c>
      <c r="AH89" s="43" t="n">
        <f aca="false">Supuestos!$C$51*Supuestos!$C$87/Supuestos!$C$88*(1+Supuestos!$C$39)^(AH6-1)</f>
        <v>137812.5</v>
      </c>
      <c r="AI89" s="43" t="n">
        <f aca="false">Supuestos!$C$51*Supuestos!$C$87/Supuestos!$C$88*(1+Supuestos!$C$39)^(AI6-1)</f>
        <v>137812.5</v>
      </c>
      <c r="AJ89" s="43" t="n">
        <f aca="false">Supuestos!$C$51*Supuestos!$C$87/Supuestos!$C$88*(1+Supuestos!$C$39)^(AJ6-1)</f>
        <v>137812.5</v>
      </c>
      <c r="AK89" s="43" t="n">
        <f aca="false">Supuestos!$C$51*Supuestos!$C$87/Supuestos!$C$88*(1+Supuestos!$C$39)^(AK6-1)</f>
        <v>137812.5</v>
      </c>
      <c r="AL89" s="43" t="n">
        <f aca="false">Supuestos!$C$51*Supuestos!$C$87/Supuestos!$C$88*(1+Supuestos!$C$39)^(AL6-1)</f>
        <v>137812.5</v>
      </c>
      <c r="AM89" s="43" t="n">
        <f aca="false">Supuestos!$C$51*Supuestos!$C$87/Supuestos!$C$88*(1+Supuestos!$C$39)^(AM6-1)</f>
        <v>144703.125</v>
      </c>
      <c r="AN89" s="43" t="n">
        <f aca="false">Supuestos!$C$51*Supuestos!$C$87/Supuestos!$C$88*(1+Supuestos!$C$39)^(AN6-1)</f>
        <v>144703.125</v>
      </c>
      <c r="AO89" s="43" t="n">
        <f aca="false">Supuestos!$C$51*Supuestos!$C$87/Supuestos!$C$88*(1+Supuestos!$C$39)^(AO6-1)</f>
        <v>144703.125</v>
      </c>
      <c r="AP89" s="43" t="n">
        <f aca="false">Supuestos!$C$51*Supuestos!$C$87/Supuestos!$C$88*(1+Supuestos!$C$39)^(AP6-1)</f>
        <v>144703.125</v>
      </c>
      <c r="AQ89" s="43" t="n">
        <f aca="false">Supuestos!$C$51*Supuestos!$C$87/Supuestos!$C$88*(1+Supuestos!$C$39)^(AQ6-1)</f>
        <v>144703.125</v>
      </c>
      <c r="AR89" s="43" t="n">
        <f aca="false">Supuestos!$C$51*Supuestos!$C$87/Supuestos!$C$88*(1+Supuestos!$C$39)^(AR6-1)</f>
        <v>144703.125</v>
      </c>
      <c r="AS89" s="43" t="n">
        <f aca="false">Supuestos!$C$51*Supuestos!$C$87/Supuestos!$C$88*(1+Supuestos!$C$39)^(AS6-1)</f>
        <v>144703.125</v>
      </c>
      <c r="AT89" s="43" t="n">
        <f aca="false">Supuestos!$C$51*Supuestos!$C$87/Supuestos!$C$88*(1+Supuestos!$C$39)^(AT6-1)</f>
        <v>144703.125</v>
      </c>
      <c r="AU89" s="43" t="n">
        <f aca="false">Supuestos!$C$51*Supuestos!$C$87/Supuestos!$C$88*(1+Supuestos!$C$39)^(AU6-1)</f>
        <v>144703.125</v>
      </c>
      <c r="AV89" s="43" t="n">
        <f aca="false">Supuestos!$C$51*Supuestos!$C$87/Supuestos!$C$88*(1+Supuestos!$C$39)^(AV6-1)</f>
        <v>144703.125</v>
      </c>
      <c r="AW89" s="43" t="n">
        <f aca="false">Supuestos!$C$51*Supuestos!$C$87/Supuestos!$C$88*(1+Supuestos!$C$39)^(AW6-1)</f>
        <v>144703.125</v>
      </c>
      <c r="AX89" s="43" t="n">
        <f aca="false">Supuestos!$C$51*Supuestos!$C$87/Supuestos!$C$88*(1+Supuestos!$C$39)^(AX6-1)</f>
        <v>144703.125</v>
      </c>
      <c r="AY89" s="43" t="n">
        <f aca="false">Supuestos!$C$51*Supuestos!$C$87/Supuestos!$C$88*(1+Supuestos!$C$39)^(AY6-1)</f>
        <v>151938.28125</v>
      </c>
      <c r="AZ89" s="43" t="n">
        <f aca="false">Supuestos!$C$51*Supuestos!$C$87/Supuestos!$C$88*(1+Supuestos!$C$39)^(AZ6-1)</f>
        <v>151938.28125</v>
      </c>
      <c r="BA89" s="43" t="n">
        <f aca="false">Supuestos!$C$51*Supuestos!$C$87/Supuestos!$C$88*(1+Supuestos!$C$39)^(BA6-1)</f>
        <v>151938.28125</v>
      </c>
      <c r="BB89" s="43" t="n">
        <f aca="false">Supuestos!$C$51*Supuestos!$C$87/Supuestos!$C$88*(1+Supuestos!$C$39)^(BB6-1)</f>
        <v>151938.28125</v>
      </c>
      <c r="BC89" s="43" t="n">
        <f aca="false">Supuestos!$C$51*Supuestos!$C$87/Supuestos!$C$88*(1+Supuestos!$C$39)^(BC6-1)</f>
        <v>151938.28125</v>
      </c>
      <c r="BD89" s="43" t="n">
        <f aca="false">Supuestos!$C$51*Supuestos!$C$87/Supuestos!$C$88*(1+Supuestos!$C$39)^(BD6-1)</f>
        <v>151938.28125</v>
      </c>
      <c r="BE89" s="43" t="n">
        <f aca="false">Supuestos!$C$51*Supuestos!$C$87/Supuestos!$C$88*(1+Supuestos!$C$39)^(BE6-1)</f>
        <v>151938.28125</v>
      </c>
      <c r="BF89" s="43" t="n">
        <f aca="false">Supuestos!$C$51*Supuestos!$C$87/Supuestos!$C$88*(1+Supuestos!$C$39)^(BF6-1)</f>
        <v>151938.28125</v>
      </c>
      <c r="BG89" s="43" t="n">
        <f aca="false">Supuestos!$C$51*Supuestos!$C$87/Supuestos!$C$88*(1+Supuestos!$C$39)^(BG6-1)</f>
        <v>151938.28125</v>
      </c>
      <c r="BH89" s="43" t="n">
        <f aca="false">Supuestos!$C$51*Supuestos!$C$87/Supuestos!$C$88*(1+Supuestos!$C$39)^(BH6-1)</f>
        <v>151938.28125</v>
      </c>
      <c r="BI89" s="43" t="n">
        <f aca="false">Supuestos!$C$51*Supuestos!$C$87/Supuestos!$C$88*(1+Supuestos!$C$39)^(BI6-1)</f>
        <v>151938.28125</v>
      </c>
      <c r="BJ89" s="43" t="n">
        <f aca="false">Supuestos!$C$51*Supuestos!$C$87/Supuestos!$C$88*(1+Supuestos!$C$39)^(BJ6-1)</f>
        <v>151938.28125</v>
      </c>
    </row>
    <row r="90" customFormat="false" ht="15" hidden="false" customHeight="false" outlineLevel="0" collapsed="false">
      <c r="A90" s="10" t="s">
        <v>283</v>
      </c>
      <c r="B90" s="7" t="s">
        <v>146</v>
      </c>
      <c r="C90" s="43" t="n">
        <f aca="false">MAX(0,C32)*Supuestos!$C$87*(1+Supuestos!$C$39)^(C6-1)</f>
        <v>0</v>
      </c>
      <c r="D90" s="43" t="n">
        <f aca="false">MAX(0,D32-MAX($C$32:C32))*Supuestos!$C$87*(1+Supuestos!$C$39)^(D6-1)</f>
        <v>0</v>
      </c>
      <c r="E90" s="43" t="n">
        <f aca="false">MAX(0,E32-MAX($C$32:D32))*Supuestos!$C$87*(1+Supuestos!$C$39)^(E6-1)</f>
        <v>0</v>
      </c>
      <c r="F90" s="43" t="n">
        <f aca="false">MAX(0,F32-MAX($C$32:E32))*Supuestos!$C$87*(1+Supuestos!$C$39)^(F6-1)</f>
        <v>0</v>
      </c>
      <c r="G90" s="43" t="n">
        <f aca="false">MAX(0,G32-MAX($C$32:F32))*Supuestos!$C$87*(1+Supuestos!$C$39)^(G6-1)</f>
        <v>0</v>
      </c>
      <c r="H90" s="43" t="n">
        <f aca="false">MAX(0,H32-MAX($C$32:G32))*Supuestos!$C$87*(1+Supuestos!$C$39)^(H6-1)</f>
        <v>0</v>
      </c>
      <c r="I90" s="43" t="n">
        <f aca="false">MAX(0,I32-MAX($C$32:H32))*Supuestos!$C$87*(1+Supuestos!$C$39)^(I6-1)</f>
        <v>0</v>
      </c>
      <c r="J90" s="43" t="n">
        <f aca="false">MAX(0,J32-MAX($C$32:I32))*Supuestos!$C$87*(1+Supuestos!$C$39)^(J6-1)</f>
        <v>0</v>
      </c>
      <c r="K90" s="43" t="n">
        <f aca="false">MAX(0,K32-MAX($C$32:J32))*Supuestos!$C$87*(1+Supuestos!$C$39)^(K6-1)</f>
        <v>0</v>
      </c>
      <c r="L90" s="43" t="n">
        <f aca="false">MAX(0,L32-MAX($C$32:K32))*Supuestos!$C$87*(1+Supuestos!$C$39)^(L6-1)</f>
        <v>0</v>
      </c>
      <c r="M90" s="43" t="n">
        <f aca="false">MAX(0,M32-MAX($C$32:L32))*Supuestos!$C$87*(1+Supuestos!$C$39)^(M6-1)</f>
        <v>0</v>
      </c>
      <c r="N90" s="43" t="n">
        <f aca="false">MAX(0,N32-MAX($C$32:M32))*Supuestos!$C$87*(1+Supuestos!$C$39)^(N6-1)</f>
        <v>0</v>
      </c>
      <c r="O90" s="43" t="n">
        <f aca="false">MAX(0,O32-MAX($C$32:N32))*Supuestos!$C$87*(1+Supuestos!$C$39)^(O6-1)</f>
        <v>0</v>
      </c>
      <c r="P90" s="43" t="n">
        <f aca="false">MAX(0,P32-MAX($C$32:O32))*Supuestos!$C$87*(1+Supuestos!$C$39)^(P6-1)</f>
        <v>0</v>
      </c>
      <c r="Q90" s="43" t="n">
        <f aca="false">MAX(0,Q32-MAX($C$32:P32))*Supuestos!$C$87*(1+Supuestos!$C$39)^(Q6-1)</f>
        <v>0</v>
      </c>
      <c r="R90" s="43" t="n">
        <f aca="false">MAX(0,R32-MAX($C$32:Q32))*Supuestos!$C$87*(1+Supuestos!$C$39)^(R6-1)</f>
        <v>0</v>
      </c>
      <c r="S90" s="43" t="n">
        <f aca="false">MAX(0,S32-MAX($C$32:R32))*Supuestos!$C$87*(1+Supuestos!$C$39)^(S6-1)</f>
        <v>0</v>
      </c>
      <c r="T90" s="43" t="n">
        <f aca="false">MAX(0,T32-MAX($C$32:S32))*Supuestos!$C$87*(1+Supuestos!$C$39)^(T6-1)</f>
        <v>0</v>
      </c>
      <c r="U90" s="43" t="n">
        <f aca="false">MAX(0,U32-MAX($C$32:T32))*Supuestos!$C$87*(1+Supuestos!$C$39)^(U6-1)</f>
        <v>0</v>
      </c>
      <c r="V90" s="43" t="n">
        <f aca="false">MAX(0,V32-MAX($C$32:U32))*Supuestos!$C$87*(1+Supuestos!$C$39)^(V6-1)</f>
        <v>0</v>
      </c>
      <c r="W90" s="43" t="n">
        <f aca="false">MAX(0,W32-MAX($C$32:V32))*Supuestos!$C$87*(1+Supuestos!$C$39)^(W6-1)</f>
        <v>0</v>
      </c>
      <c r="X90" s="43" t="n">
        <f aca="false">MAX(0,X32-MAX($C$32:W32))*Supuestos!$C$87*(1+Supuestos!$C$39)^(X6-1)</f>
        <v>0</v>
      </c>
      <c r="Y90" s="43" t="n">
        <f aca="false">MAX(0,Y32-MAX($C$32:X32))*Supuestos!$C$87*(1+Supuestos!$C$39)^(Y6-1)</f>
        <v>0</v>
      </c>
      <c r="Z90" s="43" t="n">
        <f aca="false">MAX(0,Z32-MAX($C$32:Y32))*Supuestos!$C$87*(1+Supuestos!$C$39)^(Z6-1)</f>
        <v>0</v>
      </c>
      <c r="AA90" s="43" t="n">
        <f aca="false">MAX(0,AA32-MAX($C$32:Z32))*Supuestos!$C$87*(1+Supuestos!$C$39)^(AA6-1)</f>
        <v>0</v>
      </c>
      <c r="AB90" s="43" t="n">
        <f aca="false">MAX(0,AB32-MAX($C$32:AA32))*Supuestos!$C$87*(1+Supuestos!$C$39)^(AB6-1)</f>
        <v>0</v>
      </c>
      <c r="AC90" s="43" t="n">
        <f aca="false">MAX(0,AC32-MAX($C$32:AB32))*Supuestos!$C$87*(1+Supuestos!$C$39)^(AC6-1)</f>
        <v>0</v>
      </c>
      <c r="AD90" s="43" t="n">
        <f aca="false">MAX(0,AD32-MAX($C$32:AC32))*Supuestos!$C$87*(1+Supuestos!$C$39)^(AD6-1)</f>
        <v>0</v>
      </c>
      <c r="AE90" s="43" t="n">
        <f aca="false">MAX(0,AE32-MAX($C$32:AD32))*Supuestos!$C$87*(1+Supuestos!$C$39)^(AE6-1)</f>
        <v>0</v>
      </c>
      <c r="AF90" s="43" t="n">
        <f aca="false">MAX(0,AF32-MAX($C$32:AE32))*Supuestos!$C$87*(1+Supuestos!$C$39)^(AF6-1)</f>
        <v>0</v>
      </c>
      <c r="AG90" s="43" t="n">
        <f aca="false">MAX(0,AG32-MAX($C$32:AF32))*Supuestos!$C$87*(1+Supuestos!$C$39)^(AG6-1)</f>
        <v>2756250</v>
      </c>
      <c r="AH90" s="43" t="n">
        <f aca="false">MAX(0,AH32-MAX($C$32:AG32))*Supuestos!$C$87*(1+Supuestos!$C$39)^(AH6-1)</f>
        <v>0</v>
      </c>
      <c r="AI90" s="43" t="n">
        <f aca="false">MAX(0,AI32-MAX($C$32:AH32))*Supuestos!$C$87*(1+Supuestos!$C$39)^(AI6-1)</f>
        <v>0</v>
      </c>
      <c r="AJ90" s="43" t="n">
        <f aca="false">MAX(0,AJ32-MAX($C$32:AI32))*Supuestos!$C$87*(1+Supuestos!$C$39)^(AJ6-1)</f>
        <v>0</v>
      </c>
      <c r="AK90" s="43" t="n">
        <f aca="false">MAX(0,AK32-MAX($C$32:AJ32))*Supuestos!$C$87*(1+Supuestos!$C$39)^(AK6-1)</f>
        <v>0</v>
      </c>
      <c r="AL90" s="43" t="n">
        <f aca="false">MAX(0,AL32-MAX($C$32:AK32))*Supuestos!$C$87*(1+Supuestos!$C$39)^(AL6-1)</f>
        <v>0</v>
      </c>
      <c r="AM90" s="43" t="n">
        <f aca="false">MAX(0,AM32-MAX($C$32:AL32))*Supuestos!$C$87*(1+Supuestos!$C$39)^(AM6-1)</f>
        <v>0</v>
      </c>
      <c r="AN90" s="43" t="n">
        <f aca="false">MAX(0,AN32-MAX($C$32:AM32))*Supuestos!$C$87*(1+Supuestos!$C$39)^(AN6-1)</f>
        <v>0</v>
      </c>
      <c r="AO90" s="43" t="n">
        <f aca="false">MAX(0,AO32-MAX($C$32:AN32))*Supuestos!$C$87*(1+Supuestos!$C$39)^(AO6-1)</f>
        <v>0</v>
      </c>
      <c r="AP90" s="43" t="n">
        <f aca="false">MAX(0,AP32-MAX($C$32:AO32))*Supuestos!$C$87*(1+Supuestos!$C$39)^(AP6-1)</f>
        <v>0</v>
      </c>
      <c r="AQ90" s="43" t="n">
        <f aca="false">MAX(0,AQ32-MAX($C$32:AP32))*Supuestos!$C$87*(1+Supuestos!$C$39)^(AQ6-1)</f>
        <v>0</v>
      </c>
      <c r="AR90" s="43" t="n">
        <f aca="false">MAX(0,AR32-MAX($C$32:AQ32))*Supuestos!$C$87*(1+Supuestos!$C$39)^(AR6-1)</f>
        <v>0</v>
      </c>
      <c r="AS90" s="43" t="n">
        <f aca="false">MAX(0,AS32-MAX($C$32:AR32))*Supuestos!$C$87*(1+Supuestos!$C$39)^(AS6-1)</f>
        <v>2894062.5</v>
      </c>
      <c r="AT90" s="43" t="n">
        <f aca="false">MAX(0,AT32-MAX($C$32:AS32))*Supuestos!$C$87*(1+Supuestos!$C$39)^(AT6-1)</f>
        <v>0</v>
      </c>
      <c r="AU90" s="43" t="n">
        <f aca="false">MAX(0,AU32-MAX($C$32:AT32))*Supuestos!$C$87*(1+Supuestos!$C$39)^(AU6-1)</f>
        <v>0</v>
      </c>
      <c r="AV90" s="43" t="n">
        <f aca="false">MAX(0,AV32-MAX($C$32:AU32))*Supuestos!$C$87*(1+Supuestos!$C$39)^(AV6-1)</f>
        <v>0</v>
      </c>
      <c r="AW90" s="43" t="n">
        <f aca="false">MAX(0,AW32-MAX($C$32:AV32))*Supuestos!$C$87*(1+Supuestos!$C$39)^(AW6-1)</f>
        <v>0</v>
      </c>
      <c r="AX90" s="43" t="n">
        <f aca="false">MAX(0,AX32-MAX($C$32:AW32))*Supuestos!$C$87*(1+Supuestos!$C$39)^(AX6-1)</f>
        <v>0</v>
      </c>
      <c r="AY90" s="43" t="n">
        <f aca="false">MAX(0,AY32-MAX($C$32:AX32))*Supuestos!$C$87*(1+Supuestos!$C$39)^(AY6-1)</f>
        <v>0</v>
      </c>
      <c r="AZ90" s="43" t="n">
        <f aca="false">MAX(0,AZ32-MAX($C$32:AY32))*Supuestos!$C$87*(1+Supuestos!$C$39)^(AZ6-1)</f>
        <v>0</v>
      </c>
      <c r="BA90" s="43" t="n">
        <f aca="false">MAX(0,BA32-MAX($C$32:AZ32))*Supuestos!$C$87*(1+Supuestos!$C$39)^(BA6-1)</f>
        <v>0</v>
      </c>
      <c r="BB90" s="43" t="n">
        <f aca="false">MAX(0,BB32-MAX($C$32:BA32))*Supuestos!$C$87*(1+Supuestos!$C$39)^(BB6-1)</f>
        <v>0</v>
      </c>
      <c r="BC90" s="43" t="n">
        <f aca="false">MAX(0,BC32-MAX($C$32:BB32))*Supuestos!$C$87*(1+Supuestos!$C$39)^(BC6-1)</f>
        <v>0</v>
      </c>
      <c r="BD90" s="43" t="n">
        <f aca="false">MAX(0,BD32-MAX($C$32:BC32))*Supuestos!$C$87*(1+Supuestos!$C$39)^(BD6-1)</f>
        <v>3038765.625</v>
      </c>
      <c r="BE90" s="43" t="n">
        <f aca="false">MAX(0,BE32-MAX($C$32:BD32))*Supuestos!$C$87*(1+Supuestos!$C$39)^(BE6-1)</f>
        <v>0</v>
      </c>
      <c r="BF90" s="43" t="n">
        <f aca="false">MAX(0,BF32-MAX($C$32:BE32))*Supuestos!$C$87*(1+Supuestos!$C$39)^(BF6-1)</f>
        <v>0</v>
      </c>
      <c r="BG90" s="43" t="n">
        <f aca="false">MAX(0,BG32-MAX($C$32:BF32))*Supuestos!$C$87*(1+Supuestos!$C$39)^(BG6-1)</f>
        <v>0</v>
      </c>
      <c r="BH90" s="43" t="n">
        <f aca="false">MAX(0,BH32-MAX($C$32:BG32))*Supuestos!$C$87*(1+Supuestos!$C$39)^(BH6-1)</f>
        <v>0</v>
      </c>
      <c r="BI90" s="43" t="n">
        <f aca="false">MAX(0,BI32-MAX($C$32:BH32))*Supuestos!$C$87*(1+Supuestos!$C$39)^(BI6-1)</f>
        <v>0</v>
      </c>
      <c r="BJ90" s="43" t="n">
        <f aca="false">MAX(0,BJ32-MAX($C$32:BI32))*Supuestos!$C$87*(1+Supuestos!$C$39)^(BJ6-1)</f>
        <v>0</v>
      </c>
    </row>
    <row r="91" customFormat="false" ht="15" hidden="false" customHeight="false" outlineLevel="0" collapsed="false">
      <c r="A91" s="16" t="s">
        <v>284</v>
      </c>
      <c r="B91" s="7" t="s">
        <v>146</v>
      </c>
      <c r="C91" s="35" t="n">
        <f aca="false">SUM(C88:C90)</f>
        <v>170544.98</v>
      </c>
      <c r="D91" s="35" t="n">
        <f aca="false">SUM(D88:D90)</f>
        <v>170544.98</v>
      </c>
      <c r="E91" s="35" t="n">
        <f aca="false">SUM(E88:E90)</f>
        <v>170544.98</v>
      </c>
      <c r="F91" s="35" t="n">
        <f aca="false">SUM(F88:F90)</f>
        <v>170544.98</v>
      </c>
      <c r="G91" s="35" t="n">
        <f aca="false">SUM(G88:G90)</f>
        <v>170544.98</v>
      </c>
      <c r="H91" s="35" t="n">
        <f aca="false">SUM(H88:H90)</f>
        <v>170544.98</v>
      </c>
      <c r="I91" s="35" t="n">
        <f aca="false">SUM(I88:I90)</f>
        <v>170544.98</v>
      </c>
      <c r="J91" s="35" t="n">
        <f aca="false">SUM(J88:J90)</f>
        <v>170544.98</v>
      </c>
      <c r="K91" s="35" t="n">
        <f aca="false">SUM(K88:K90)</f>
        <v>170544.98</v>
      </c>
      <c r="L91" s="35" t="n">
        <f aca="false">SUM(L88:L90)</f>
        <v>170544.98</v>
      </c>
      <c r="M91" s="35" t="n">
        <f aca="false">SUM(M88:M90)</f>
        <v>170544.98</v>
      </c>
      <c r="N91" s="35" t="n">
        <f aca="false">SUM(N88:N90)</f>
        <v>170544.98</v>
      </c>
      <c r="O91" s="35" t="n">
        <f aca="false">SUM(O88:O90)</f>
        <v>202983.3435</v>
      </c>
      <c r="P91" s="35" t="n">
        <f aca="false">SUM(P88:P90)</f>
        <v>202983.3435</v>
      </c>
      <c r="Q91" s="35" t="n">
        <f aca="false">SUM(Q88:Q90)</f>
        <v>202983.3435</v>
      </c>
      <c r="R91" s="35" t="n">
        <f aca="false">SUM(R88:R90)</f>
        <v>202983.3435</v>
      </c>
      <c r="S91" s="35" t="n">
        <f aca="false">SUM(S88:S90)</f>
        <v>202983.3435</v>
      </c>
      <c r="T91" s="35" t="n">
        <f aca="false">SUM(T88:T90)</f>
        <v>202983.3435</v>
      </c>
      <c r="U91" s="35" t="n">
        <f aca="false">SUM(U88:U90)</f>
        <v>202983.3435</v>
      </c>
      <c r="V91" s="35" t="n">
        <f aca="false">SUM(V88:V90)</f>
        <v>202983.3435</v>
      </c>
      <c r="W91" s="35" t="n">
        <f aca="false">SUM(W88:W90)</f>
        <v>202983.3435</v>
      </c>
      <c r="X91" s="35" t="n">
        <f aca="false">SUM(X88:X90)</f>
        <v>202983.3435</v>
      </c>
      <c r="Y91" s="35" t="n">
        <f aca="false">SUM(Y88:Y90)</f>
        <v>202983.3435</v>
      </c>
      <c r="Z91" s="35" t="n">
        <f aca="false">SUM(Z88:Z90)</f>
        <v>202983.3435</v>
      </c>
      <c r="AA91" s="35" t="n">
        <f aca="false">SUM(AA88:AA90)</f>
        <v>137812.5</v>
      </c>
      <c r="AB91" s="35" t="n">
        <f aca="false">SUM(AB88:AB90)</f>
        <v>137812.5</v>
      </c>
      <c r="AC91" s="35" t="n">
        <f aca="false">SUM(AC88:AC90)</f>
        <v>137812.5</v>
      </c>
      <c r="AD91" s="35" t="n">
        <f aca="false">SUM(AD88:AD90)</f>
        <v>137812.5</v>
      </c>
      <c r="AE91" s="35" t="n">
        <f aca="false">SUM(AE88:AE90)</f>
        <v>137812.5</v>
      </c>
      <c r="AF91" s="35" t="n">
        <f aca="false">SUM(AF88:AF90)</f>
        <v>137812.5</v>
      </c>
      <c r="AG91" s="35" t="n">
        <f aca="false">SUM(AG88:AG90)</f>
        <v>2894062.5</v>
      </c>
      <c r="AH91" s="35" t="n">
        <f aca="false">SUM(AH88:AH90)</f>
        <v>137812.5</v>
      </c>
      <c r="AI91" s="35" t="n">
        <f aca="false">SUM(AI88:AI90)</f>
        <v>137812.5</v>
      </c>
      <c r="AJ91" s="35" t="n">
        <f aca="false">SUM(AJ88:AJ90)</f>
        <v>137812.5</v>
      </c>
      <c r="AK91" s="35" t="n">
        <f aca="false">SUM(AK88:AK90)</f>
        <v>137812.5</v>
      </c>
      <c r="AL91" s="35" t="n">
        <f aca="false">SUM(AL88:AL90)</f>
        <v>137812.5</v>
      </c>
      <c r="AM91" s="35" t="n">
        <f aca="false">SUM(AM88:AM90)</f>
        <v>144703.125</v>
      </c>
      <c r="AN91" s="35" t="n">
        <f aca="false">SUM(AN88:AN90)</f>
        <v>144703.125</v>
      </c>
      <c r="AO91" s="35" t="n">
        <f aca="false">SUM(AO88:AO90)</f>
        <v>144703.125</v>
      </c>
      <c r="AP91" s="35" t="n">
        <f aca="false">SUM(AP88:AP90)</f>
        <v>144703.125</v>
      </c>
      <c r="AQ91" s="35" t="n">
        <f aca="false">SUM(AQ88:AQ90)</f>
        <v>144703.125</v>
      </c>
      <c r="AR91" s="35" t="n">
        <f aca="false">SUM(AR88:AR90)</f>
        <v>144703.125</v>
      </c>
      <c r="AS91" s="35" t="n">
        <f aca="false">SUM(AS88:AS90)</f>
        <v>3038765.625</v>
      </c>
      <c r="AT91" s="35" t="n">
        <f aca="false">SUM(AT88:AT90)</f>
        <v>144703.125</v>
      </c>
      <c r="AU91" s="35" t="n">
        <f aca="false">SUM(AU88:AU90)</f>
        <v>144703.125</v>
      </c>
      <c r="AV91" s="35" t="n">
        <f aca="false">SUM(AV88:AV90)</f>
        <v>144703.125</v>
      </c>
      <c r="AW91" s="35" t="n">
        <f aca="false">SUM(AW88:AW90)</f>
        <v>144703.125</v>
      </c>
      <c r="AX91" s="35" t="n">
        <f aca="false">SUM(AX88:AX90)</f>
        <v>144703.125</v>
      </c>
      <c r="AY91" s="35" t="n">
        <f aca="false">SUM(AY88:AY90)</f>
        <v>151938.28125</v>
      </c>
      <c r="AZ91" s="35" t="n">
        <f aca="false">SUM(AZ88:AZ90)</f>
        <v>151938.28125</v>
      </c>
      <c r="BA91" s="35" t="n">
        <f aca="false">SUM(BA88:BA90)</f>
        <v>151938.28125</v>
      </c>
      <c r="BB91" s="35" t="n">
        <f aca="false">SUM(BB88:BB90)</f>
        <v>151938.28125</v>
      </c>
      <c r="BC91" s="35" t="n">
        <f aca="false">SUM(BC88:BC90)</f>
        <v>151938.28125</v>
      </c>
      <c r="BD91" s="35" t="n">
        <f aca="false">SUM(BD88:BD90)</f>
        <v>3190703.90625</v>
      </c>
      <c r="BE91" s="35" t="n">
        <f aca="false">SUM(BE88:BE90)</f>
        <v>151938.28125</v>
      </c>
      <c r="BF91" s="35" t="n">
        <f aca="false">SUM(BF88:BF90)</f>
        <v>151938.28125</v>
      </c>
      <c r="BG91" s="35" t="n">
        <f aca="false">SUM(BG88:BG90)</f>
        <v>151938.28125</v>
      </c>
      <c r="BH91" s="35" t="n">
        <f aca="false">SUM(BH88:BH90)</f>
        <v>151938.28125</v>
      </c>
      <c r="BI91" s="35" t="n">
        <f aca="false">SUM(BI88:BI90)</f>
        <v>151938.28125</v>
      </c>
      <c r="BJ91" s="35" t="n">
        <f aca="false">SUM(BJ88:BJ90)</f>
        <v>151938.28125</v>
      </c>
    </row>
    <row r="93" customFormat="false" ht="15" hidden="false" customHeight="false" outlineLevel="0" collapsed="false">
      <c r="A93" s="10" t="s">
        <v>285</v>
      </c>
      <c r="C93" s="41" t="n">
        <f aca="false">SUMIF($C$6:$BJ$6,1,$C$91:$BJ$91)/1000000</f>
        <v>2.04653976</v>
      </c>
      <c r="D93" s="41" t="n">
        <f aca="false">SUMIF($C$6:$BJ$6,2,$C$91:$BJ$91)/1000000</f>
        <v>2.435800122</v>
      </c>
      <c r="E93" s="41" t="n">
        <f aca="false">SUMIF($C$6:$BJ$6,3,$C$91:$BJ$91)/1000000</f>
        <v>4.41</v>
      </c>
      <c r="F93" s="41" t="n">
        <f aca="false">SUMIF($C$6:$BJ$6,4,$C$91:$BJ$91)/1000000</f>
        <v>4.6305</v>
      </c>
      <c r="G93" s="41" t="n">
        <f aca="false">SUMIF($C$6:$BJ$6,5,$C$91:$BJ$91)/1000000</f>
        <v>4.862025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62" min="3" style="1" width="12"/>
  </cols>
  <sheetData>
    <row r="1" customFormat="false" ht="17.25" hidden="false" customHeight="true" outlineLevel="0" collapsed="false">
      <c r="A1" s="6" t="s">
        <v>287</v>
      </c>
    </row>
    <row r="2" customFormat="false" ht="15" hidden="false" customHeight="true" outlineLevel="0" collapsed="false">
      <c r="A2" s="10" t="s">
        <v>237</v>
      </c>
      <c r="B2" s="10" t="n">
        <v>3</v>
      </c>
    </row>
    <row r="3" customFormat="false" ht="15" hidden="false" customHeight="true" outlineLevel="0" collapsed="false">
      <c r="A3" s="7" t="s">
        <v>238</v>
      </c>
    </row>
    <row r="5" customFormat="false" ht="15" hidden="false" customHeight="true" outlineLevel="0" collapsed="false">
      <c r="A5" s="28" t="s">
        <v>54</v>
      </c>
      <c r="B5" s="37"/>
      <c r="C5" s="38" t="n">
        <v>1</v>
      </c>
      <c r="D5" s="38" t="n">
        <v>2</v>
      </c>
      <c r="E5" s="38" t="n">
        <v>3</v>
      </c>
      <c r="F5" s="38" t="n">
        <v>4</v>
      </c>
      <c r="G5" s="38" t="n">
        <v>5</v>
      </c>
      <c r="H5" s="38" t="n">
        <v>6</v>
      </c>
      <c r="I5" s="38" t="n">
        <v>7</v>
      </c>
      <c r="J5" s="38" t="n">
        <v>8</v>
      </c>
      <c r="K5" s="38" t="n">
        <v>9</v>
      </c>
      <c r="L5" s="38" t="n">
        <v>10</v>
      </c>
      <c r="M5" s="38" t="n">
        <v>11</v>
      </c>
      <c r="N5" s="38" t="n">
        <v>12</v>
      </c>
      <c r="O5" s="38" t="n">
        <v>13</v>
      </c>
      <c r="P5" s="38" t="n">
        <v>14</v>
      </c>
      <c r="Q5" s="38" t="n">
        <v>15</v>
      </c>
      <c r="R5" s="38" t="n">
        <v>16</v>
      </c>
      <c r="S5" s="38" t="n">
        <v>17</v>
      </c>
      <c r="T5" s="38" t="n">
        <v>18</v>
      </c>
      <c r="U5" s="38" t="n">
        <v>19</v>
      </c>
      <c r="V5" s="38" t="n">
        <v>20</v>
      </c>
      <c r="W5" s="38" t="n">
        <v>21</v>
      </c>
      <c r="X5" s="38" t="n">
        <v>22</v>
      </c>
      <c r="Y5" s="38" t="n">
        <v>23</v>
      </c>
      <c r="Z5" s="38" t="n">
        <v>24</v>
      </c>
      <c r="AA5" s="38" t="n">
        <v>25</v>
      </c>
      <c r="AB5" s="38" t="n">
        <v>26</v>
      </c>
      <c r="AC5" s="38" t="n">
        <v>27</v>
      </c>
      <c r="AD5" s="38" t="n">
        <v>28</v>
      </c>
      <c r="AE5" s="38" t="n">
        <v>29</v>
      </c>
      <c r="AF5" s="38" t="n">
        <v>30</v>
      </c>
      <c r="AG5" s="38" t="n">
        <v>31</v>
      </c>
      <c r="AH5" s="38" t="n">
        <v>32</v>
      </c>
      <c r="AI5" s="38" t="n">
        <v>33</v>
      </c>
      <c r="AJ5" s="38" t="n">
        <v>34</v>
      </c>
      <c r="AK5" s="38" t="n">
        <v>35</v>
      </c>
      <c r="AL5" s="38" t="n">
        <v>36</v>
      </c>
      <c r="AM5" s="38" t="n">
        <v>37</v>
      </c>
      <c r="AN5" s="38" t="n">
        <v>38</v>
      </c>
      <c r="AO5" s="38" t="n">
        <v>39</v>
      </c>
      <c r="AP5" s="38" t="n">
        <v>40</v>
      </c>
      <c r="AQ5" s="38" t="n">
        <v>41</v>
      </c>
      <c r="AR5" s="38" t="n">
        <v>42</v>
      </c>
      <c r="AS5" s="38" t="n">
        <v>43</v>
      </c>
      <c r="AT5" s="38" t="n">
        <v>44</v>
      </c>
      <c r="AU5" s="38" t="n">
        <v>45</v>
      </c>
      <c r="AV5" s="38" t="n">
        <v>46</v>
      </c>
      <c r="AW5" s="38" t="n">
        <v>47</v>
      </c>
      <c r="AX5" s="38" t="n">
        <v>48</v>
      </c>
      <c r="AY5" s="38" t="n">
        <v>49</v>
      </c>
      <c r="AZ5" s="38" t="n">
        <v>50</v>
      </c>
      <c r="BA5" s="38" t="n">
        <v>51</v>
      </c>
      <c r="BB5" s="38" t="n">
        <v>52</v>
      </c>
      <c r="BC5" s="38" t="n">
        <v>53</v>
      </c>
      <c r="BD5" s="38" t="n">
        <v>54</v>
      </c>
      <c r="BE5" s="38" t="n">
        <v>55</v>
      </c>
      <c r="BF5" s="38" t="n">
        <v>56</v>
      </c>
      <c r="BG5" s="38" t="n">
        <v>57</v>
      </c>
      <c r="BH5" s="38" t="n">
        <v>58</v>
      </c>
      <c r="BI5" s="38" t="n">
        <v>59</v>
      </c>
      <c r="BJ5" s="38" t="n">
        <v>60</v>
      </c>
    </row>
    <row r="6" customFormat="false" ht="15" hidden="false" customHeight="true" outlineLevel="0" collapsed="false">
      <c r="A6" s="10" t="s">
        <v>239</v>
      </c>
      <c r="B6" s="7"/>
      <c r="C6" s="39" t="n">
        <f aca="false">ROUNDUP(C5/12,0)</f>
        <v>1</v>
      </c>
      <c r="D6" s="39" t="n">
        <f aca="false">ROUNDUP(D5/12,0)</f>
        <v>1</v>
      </c>
      <c r="E6" s="39" t="n">
        <f aca="false">ROUNDUP(E5/12,0)</f>
        <v>1</v>
      </c>
      <c r="F6" s="39" t="n">
        <f aca="false">ROUNDUP(F5/12,0)</f>
        <v>1</v>
      </c>
      <c r="G6" s="39" t="n">
        <f aca="false">ROUNDUP(G5/12,0)</f>
        <v>1</v>
      </c>
      <c r="H6" s="39" t="n">
        <f aca="false">ROUNDUP(H5/12,0)</f>
        <v>1</v>
      </c>
      <c r="I6" s="39" t="n">
        <f aca="false">ROUNDUP(I5/12,0)</f>
        <v>1</v>
      </c>
      <c r="J6" s="39" t="n">
        <f aca="false">ROUNDUP(J5/12,0)</f>
        <v>1</v>
      </c>
      <c r="K6" s="39" t="n">
        <f aca="false">ROUNDUP(K5/12,0)</f>
        <v>1</v>
      </c>
      <c r="L6" s="39" t="n">
        <f aca="false">ROUNDUP(L5/12,0)</f>
        <v>1</v>
      </c>
      <c r="M6" s="39" t="n">
        <f aca="false">ROUNDUP(M5/12,0)</f>
        <v>1</v>
      </c>
      <c r="N6" s="39" t="n">
        <f aca="false">ROUNDUP(N5/12,0)</f>
        <v>1</v>
      </c>
      <c r="O6" s="39" t="n">
        <f aca="false">ROUNDUP(O5/12,0)</f>
        <v>2</v>
      </c>
      <c r="P6" s="39" t="n">
        <f aca="false">ROUNDUP(P5/12,0)</f>
        <v>2</v>
      </c>
      <c r="Q6" s="39" t="n">
        <f aca="false">ROUNDUP(Q5/12,0)</f>
        <v>2</v>
      </c>
      <c r="R6" s="39" t="n">
        <f aca="false">ROUNDUP(R5/12,0)</f>
        <v>2</v>
      </c>
      <c r="S6" s="39" t="n">
        <f aca="false">ROUNDUP(S5/12,0)</f>
        <v>2</v>
      </c>
      <c r="T6" s="39" t="n">
        <f aca="false">ROUNDUP(T5/12,0)</f>
        <v>2</v>
      </c>
      <c r="U6" s="39" t="n">
        <f aca="false">ROUNDUP(U5/12,0)</f>
        <v>2</v>
      </c>
      <c r="V6" s="39" t="n">
        <f aca="false">ROUNDUP(V5/12,0)</f>
        <v>2</v>
      </c>
      <c r="W6" s="39" t="n">
        <f aca="false">ROUNDUP(W5/12,0)</f>
        <v>2</v>
      </c>
      <c r="X6" s="39" t="n">
        <f aca="false">ROUNDUP(X5/12,0)</f>
        <v>2</v>
      </c>
      <c r="Y6" s="39" t="n">
        <f aca="false">ROUNDUP(Y5/12,0)</f>
        <v>2</v>
      </c>
      <c r="Z6" s="39" t="n">
        <f aca="false">ROUNDUP(Z5/12,0)</f>
        <v>2</v>
      </c>
      <c r="AA6" s="39" t="n">
        <f aca="false">ROUNDUP(AA5/12,0)</f>
        <v>3</v>
      </c>
      <c r="AB6" s="39" t="n">
        <f aca="false">ROUNDUP(AB5/12,0)</f>
        <v>3</v>
      </c>
      <c r="AC6" s="39" t="n">
        <f aca="false">ROUNDUP(AC5/12,0)</f>
        <v>3</v>
      </c>
      <c r="AD6" s="39" t="n">
        <f aca="false">ROUNDUP(AD5/12,0)</f>
        <v>3</v>
      </c>
      <c r="AE6" s="39" t="n">
        <f aca="false">ROUNDUP(AE5/12,0)</f>
        <v>3</v>
      </c>
      <c r="AF6" s="39" t="n">
        <f aca="false">ROUNDUP(AF5/12,0)</f>
        <v>3</v>
      </c>
      <c r="AG6" s="39" t="n">
        <f aca="false">ROUNDUP(AG5/12,0)</f>
        <v>3</v>
      </c>
      <c r="AH6" s="39" t="n">
        <f aca="false">ROUNDUP(AH5/12,0)</f>
        <v>3</v>
      </c>
      <c r="AI6" s="39" t="n">
        <f aca="false">ROUNDUP(AI5/12,0)</f>
        <v>3</v>
      </c>
      <c r="AJ6" s="39" t="n">
        <f aca="false">ROUNDUP(AJ5/12,0)</f>
        <v>3</v>
      </c>
      <c r="AK6" s="39" t="n">
        <f aca="false">ROUNDUP(AK5/12,0)</f>
        <v>3</v>
      </c>
      <c r="AL6" s="39" t="n">
        <f aca="false">ROUNDUP(AL5/12,0)</f>
        <v>3</v>
      </c>
      <c r="AM6" s="39" t="n">
        <f aca="false">ROUNDUP(AM5/12,0)</f>
        <v>4</v>
      </c>
      <c r="AN6" s="39" t="n">
        <f aca="false">ROUNDUP(AN5/12,0)</f>
        <v>4</v>
      </c>
      <c r="AO6" s="39" t="n">
        <f aca="false">ROUNDUP(AO5/12,0)</f>
        <v>4</v>
      </c>
      <c r="AP6" s="39" t="n">
        <f aca="false">ROUNDUP(AP5/12,0)</f>
        <v>4</v>
      </c>
      <c r="AQ6" s="39" t="n">
        <f aca="false">ROUNDUP(AQ5/12,0)</f>
        <v>4</v>
      </c>
      <c r="AR6" s="39" t="n">
        <f aca="false">ROUNDUP(AR5/12,0)</f>
        <v>4</v>
      </c>
      <c r="AS6" s="39" t="n">
        <f aca="false">ROUNDUP(AS5/12,0)</f>
        <v>4</v>
      </c>
      <c r="AT6" s="39" t="n">
        <f aca="false">ROUNDUP(AT5/12,0)</f>
        <v>4</v>
      </c>
      <c r="AU6" s="39" t="n">
        <f aca="false">ROUNDUP(AU5/12,0)</f>
        <v>4</v>
      </c>
      <c r="AV6" s="39" t="n">
        <f aca="false">ROUNDUP(AV5/12,0)</f>
        <v>4</v>
      </c>
      <c r="AW6" s="39" t="n">
        <f aca="false">ROUNDUP(AW5/12,0)</f>
        <v>4</v>
      </c>
      <c r="AX6" s="39" t="n">
        <f aca="false">ROUNDUP(AX5/12,0)</f>
        <v>4</v>
      </c>
      <c r="AY6" s="39" t="n">
        <f aca="false">ROUNDUP(AY5/12,0)</f>
        <v>5</v>
      </c>
      <c r="AZ6" s="39" t="n">
        <f aca="false">ROUNDUP(AZ5/12,0)</f>
        <v>5</v>
      </c>
      <c r="BA6" s="39" t="n">
        <f aca="false">ROUNDUP(BA5/12,0)</f>
        <v>5</v>
      </c>
      <c r="BB6" s="39" t="n">
        <f aca="false">ROUNDUP(BB5/12,0)</f>
        <v>5</v>
      </c>
      <c r="BC6" s="39" t="n">
        <f aca="false">ROUNDUP(BC5/12,0)</f>
        <v>5</v>
      </c>
      <c r="BD6" s="39" t="n">
        <f aca="false">ROUNDUP(BD5/12,0)</f>
        <v>5</v>
      </c>
      <c r="BE6" s="39" t="n">
        <f aca="false">ROUNDUP(BE5/12,0)</f>
        <v>5</v>
      </c>
      <c r="BF6" s="39" t="n">
        <f aca="false">ROUNDUP(BF5/12,0)</f>
        <v>5</v>
      </c>
      <c r="BG6" s="39" t="n">
        <f aca="false">ROUNDUP(BG5/12,0)</f>
        <v>5</v>
      </c>
      <c r="BH6" s="39" t="n">
        <f aca="false">ROUNDUP(BH5/12,0)</f>
        <v>5</v>
      </c>
      <c r="BI6" s="39" t="n">
        <f aca="false">ROUNDUP(BI5/12,0)</f>
        <v>5</v>
      </c>
      <c r="BJ6" s="39" t="n">
        <f aca="false">ROUNDUP(BJ5/12,0)</f>
        <v>5</v>
      </c>
    </row>
    <row r="7" customFormat="false" ht="15" hidden="false" customHeight="true" outlineLevel="0" collapsed="false">
      <c r="A7" s="10" t="s">
        <v>240</v>
      </c>
      <c r="B7" s="7"/>
      <c r="C7" s="39" t="n">
        <f aca="false">C5-(C6-1)*12</f>
        <v>1</v>
      </c>
      <c r="D7" s="39" t="n">
        <f aca="false">D5-(D6-1)*12</f>
        <v>2</v>
      </c>
      <c r="E7" s="39" t="n">
        <f aca="false">E5-(E6-1)*12</f>
        <v>3</v>
      </c>
      <c r="F7" s="39" t="n">
        <f aca="false">F5-(F6-1)*12</f>
        <v>4</v>
      </c>
      <c r="G7" s="39" t="n">
        <f aca="false">G5-(G6-1)*12</f>
        <v>5</v>
      </c>
      <c r="H7" s="39" t="n">
        <f aca="false">H5-(H6-1)*12</f>
        <v>6</v>
      </c>
      <c r="I7" s="39" t="n">
        <f aca="false">I5-(I6-1)*12</f>
        <v>7</v>
      </c>
      <c r="J7" s="39" t="n">
        <f aca="false">J5-(J6-1)*12</f>
        <v>8</v>
      </c>
      <c r="K7" s="39" t="n">
        <f aca="false">K5-(K6-1)*12</f>
        <v>9</v>
      </c>
      <c r="L7" s="39" t="n">
        <f aca="false">L5-(L6-1)*12</f>
        <v>10</v>
      </c>
      <c r="M7" s="39" t="n">
        <f aca="false">M5-(M6-1)*12</f>
        <v>11</v>
      </c>
      <c r="N7" s="39" t="n">
        <f aca="false">N5-(N6-1)*12</f>
        <v>12</v>
      </c>
      <c r="O7" s="39" t="n">
        <f aca="false">O5-(O6-1)*12</f>
        <v>1</v>
      </c>
      <c r="P7" s="39" t="n">
        <f aca="false">P5-(P6-1)*12</f>
        <v>2</v>
      </c>
      <c r="Q7" s="39" t="n">
        <f aca="false">Q5-(Q6-1)*12</f>
        <v>3</v>
      </c>
      <c r="R7" s="39" t="n">
        <f aca="false">R5-(R6-1)*12</f>
        <v>4</v>
      </c>
      <c r="S7" s="39" t="n">
        <f aca="false">S5-(S6-1)*12</f>
        <v>5</v>
      </c>
      <c r="T7" s="39" t="n">
        <f aca="false">T5-(T6-1)*12</f>
        <v>6</v>
      </c>
      <c r="U7" s="39" t="n">
        <f aca="false">U5-(U6-1)*12</f>
        <v>7</v>
      </c>
      <c r="V7" s="39" t="n">
        <f aca="false">V5-(V6-1)*12</f>
        <v>8</v>
      </c>
      <c r="W7" s="39" t="n">
        <f aca="false">W5-(W6-1)*12</f>
        <v>9</v>
      </c>
      <c r="X7" s="39" t="n">
        <f aca="false">X5-(X6-1)*12</f>
        <v>10</v>
      </c>
      <c r="Y7" s="39" t="n">
        <f aca="false">Y5-(Y6-1)*12</f>
        <v>11</v>
      </c>
      <c r="Z7" s="39" t="n">
        <f aca="false">Z5-(Z6-1)*12</f>
        <v>12</v>
      </c>
      <c r="AA7" s="39" t="n">
        <f aca="false">AA5-(AA6-1)*12</f>
        <v>1</v>
      </c>
      <c r="AB7" s="39" t="n">
        <f aca="false">AB5-(AB6-1)*12</f>
        <v>2</v>
      </c>
      <c r="AC7" s="39" t="n">
        <f aca="false">AC5-(AC6-1)*12</f>
        <v>3</v>
      </c>
      <c r="AD7" s="39" t="n">
        <f aca="false">AD5-(AD6-1)*12</f>
        <v>4</v>
      </c>
      <c r="AE7" s="39" t="n">
        <f aca="false">AE5-(AE6-1)*12</f>
        <v>5</v>
      </c>
      <c r="AF7" s="39" t="n">
        <f aca="false">AF5-(AF6-1)*12</f>
        <v>6</v>
      </c>
      <c r="AG7" s="39" t="n">
        <f aca="false">AG5-(AG6-1)*12</f>
        <v>7</v>
      </c>
      <c r="AH7" s="39" t="n">
        <f aca="false">AH5-(AH6-1)*12</f>
        <v>8</v>
      </c>
      <c r="AI7" s="39" t="n">
        <f aca="false">AI5-(AI6-1)*12</f>
        <v>9</v>
      </c>
      <c r="AJ7" s="39" t="n">
        <f aca="false">AJ5-(AJ6-1)*12</f>
        <v>10</v>
      </c>
      <c r="AK7" s="39" t="n">
        <f aca="false">AK5-(AK6-1)*12</f>
        <v>11</v>
      </c>
      <c r="AL7" s="39" t="n">
        <f aca="false">AL5-(AL6-1)*12</f>
        <v>12</v>
      </c>
      <c r="AM7" s="39" t="n">
        <f aca="false">AM5-(AM6-1)*12</f>
        <v>1</v>
      </c>
      <c r="AN7" s="39" t="n">
        <f aca="false">AN5-(AN6-1)*12</f>
        <v>2</v>
      </c>
      <c r="AO7" s="39" t="n">
        <f aca="false">AO5-(AO6-1)*12</f>
        <v>3</v>
      </c>
      <c r="AP7" s="39" t="n">
        <f aca="false">AP5-(AP6-1)*12</f>
        <v>4</v>
      </c>
      <c r="AQ7" s="39" t="n">
        <f aca="false">AQ5-(AQ6-1)*12</f>
        <v>5</v>
      </c>
      <c r="AR7" s="39" t="n">
        <f aca="false">AR5-(AR6-1)*12</f>
        <v>6</v>
      </c>
      <c r="AS7" s="39" t="n">
        <f aca="false">AS5-(AS6-1)*12</f>
        <v>7</v>
      </c>
      <c r="AT7" s="39" t="n">
        <f aca="false">AT5-(AT6-1)*12</f>
        <v>8</v>
      </c>
      <c r="AU7" s="39" t="n">
        <f aca="false">AU5-(AU6-1)*12</f>
        <v>9</v>
      </c>
      <c r="AV7" s="39" t="n">
        <f aca="false">AV5-(AV6-1)*12</f>
        <v>10</v>
      </c>
      <c r="AW7" s="39" t="n">
        <f aca="false">AW5-(AW6-1)*12</f>
        <v>11</v>
      </c>
      <c r="AX7" s="39" t="n">
        <f aca="false">AX5-(AX6-1)*12</f>
        <v>12</v>
      </c>
      <c r="AY7" s="39" t="n">
        <f aca="false">AY5-(AY6-1)*12</f>
        <v>1</v>
      </c>
      <c r="AZ7" s="39" t="n">
        <f aca="false">AZ5-(AZ6-1)*12</f>
        <v>2</v>
      </c>
      <c r="BA7" s="39" t="n">
        <f aca="false">BA5-(BA6-1)*12</f>
        <v>3</v>
      </c>
      <c r="BB7" s="39" t="n">
        <f aca="false">BB5-(BB6-1)*12</f>
        <v>4</v>
      </c>
      <c r="BC7" s="39" t="n">
        <f aca="false">BC5-(BC6-1)*12</f>
        <v>5</v>
      </c>
      <c r="BD7" s="39" t="n">
        <f aca="false">BD5-(BD6-1)*12</f>
        <v>6</v>
      </c>
      <c r="BE7" s="39" t="n">
        <f aca="false">BE5-(BE6-1)*12</f>
        <v>7</v>
      </c>
      <c r="BF7" s="39" t="n">
        <f aca="false">BF5-(BF6-1)*12</f>
        <v>8</v>
      </c>
      <c r="BG7" s="39" t="n">
        <f aca="false">BG5-(BG6-1)*12</f>
        <v>9</v>
      </c>
      <c r="BH7" s="39" t="n">
        <f aca="false">BH5-(BH6-1)*12</f>
        <v>10</v>
      </c>
      <c r="BI7" s="39" t="n">
        <f aca="false">BI5-(BI6-1)*12</f>
        <v>11</v>
      </c>
      <c r="BJ7" s="39" t="n">
        <f aca="false">BJ5-(BJ6-1)*12</f>
        <v>12</v>
      </c>
    </row>
    <row r="9" customFormat="false" ht="15" hidden="false" customHeight="true" outlineLevel="0" collapsed="false">
      <c r="A9" s="28" t="s">
        <v>241</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row>
    <row r="10" customFormat="false" ht="15" hidden="false" customHeight="true" outlineLevel="0" collapsed="false">
      <c r="A10" s="10" t="s">
        <v>242</v>
      </c>
      <c r="B10" s="7" t="s">
        <v>73</v>
      </c>
      <c r="C10" s="41" t="n">
        <f aca="false">IF(C6=1,INDEX(Supuestos!$C$22:$N$22,1,C7)*INDEX(Supuestos!$C$11:$E$11,1,$B$2),IF(C6=2,INDEX(Supuestos!$C$11:$E$11,1,$B$2),IF(C6=3,INDEX(Supuestos!$C$12:$E$12,1,$B$2),IF(C6=4,INDEX(Supuestos!$C$13:$E$13,1,$B$2),INDEX(Supuestos!$C$14:$E$14,1,$B$2))))+(IF(C6=2,INDEX(Supuestos!$C$12:$E$12,1,$B$2),IF(C6=3,INDEX(Supuestos!$C$13:$E$13,1,$B$2),IF(C6=4,INDEX(Supuestos!$C$14:$E$14,1,$B$2),INDEX(Supuestos!$C$15:$E$15,1,$B$2))))-IF(C6=2,INDEX(Supuestos!$C$11:$E$11,1,$B$2),IF(C6=3,INDEX(Supuestos!$C$12:$E$12,1,$B$2),IF(C6=4,INDEX(Supuestos!$C$13:$E$13,1,$B$2),INDEX(Supuestos!$C$14:$E$14,1,$B$2)))))*C7/12)</f>
        <v>12.495</v>
      </c>
      <c r="D10" s="41" t="n">
        <f aca="false">IF(D6=1,INDEX(Supuestos!$C$22:$N$22,1,D7)*INDEX(Supuestos!$C$11:$E$11,1,$B$2),IF(D6=2,INDEX(Supuestos!$C$11:$E$11,1,$B$2),IF(D6=3,INDEX(Supuestos!$C$12:$E$12,1,$B$2),IF(D6=4,INDEX(Supuestos!$C$13:$E$13,1,$B$2),INDEX(Supuestos!$C$14:$E$14,1,$B$2))))+(IF(D6=2,INDEX(Supuestos!$C$12:$E$12,1,$B$2),IF(D6=3,INDEX(Supuestos!$C$13:$E$13,1,$B$2),IF(D6=4,INDEX(Supuestos!$C$14:$E$14,1,$B$2),INDEX(Supuestos!$C$15:$E$15,1,$B$2))))-IF(D6=2,INDEX(Supuestos!$C$11:$E$11,1,$B$2),IF(D6=3,INDEX(Supuestos!$C$12:$E$12,1,$B$2),IF(D6=4,INDEX(Supuestos!$C$13:$E$13,1,$B$2),INDEX(Supuestos!$C$14:$E$14,1,$B$2)))))*D7/12)</f>
        <v>18.75</v>
      </c>
      <c r="E10" s="41" t="n">
        <f aca="false">IF(E6=1,INDEX(Supuestos!$C$22:$N$22,1,E7)*INDEX(Supuestos!$C$11:$E$11,1,$B$2),IF(E6=2,INDEX(Supuestos!$C$11:$E$11,1,$B$2),IF(E6=3,INDEX(Supuestos!$C$12:$E$12,1,$B$2),IF(E6=4,INDEX(Supuestos!$C$13:$E$13,1,$B$2),INDEX(Supuestos!$C$14:$E$14,1,$B$2))))+(IF(E6=2,INDEX(Supuestos!$C$12:$E$12,1,$B$2),IF(E6=3,INDEX(Supuestos!$C$13:$E$13,1,$B$2),IF(E6=4,INDEX(Supuestos!$C$14:$E$14,1,$B$2),INDEX(Supuestos!$C$15:$E$15,1,$B$2))))-IF(E6=2,INDEX(Supuestos!$C$11:$E$11,1,$B$2),IF(E6=3,INDEX(Supuestos!$C$12:$E$12,1,$B$2),IF(E6=4,INDEX(Supuestos!$C$13:$E$13,1,$B$2),INDEX(Supuestos!$C$14:$E$14,1,$B$2)))))*E7/12)</f>
        <v>31.245</v>
      </c>
      <c r="F10" s="41" t="n">
        <f aca="false">IF(F6=1,INDEX(Supuestos!$C$22:$N$22,1,F7)*INDEX(Supuestos!$C$11:$E$11,1,$B$2),IF(F6=2,INDEX(Supuestos!$C$11:$E$11,1,$B$2),IF(F6=3,INDEX(Supuestos!$C$12:$E$12,1,$B$2),IF(F6=4,INDEX(Supuestos!$C$13:$E$13,1,$B$2),INDEX(Supuestos!$C$14:$E$14,1,$B$2))))+(IF(F6=2,INDEX(Supuestos!$C$12:$E$12,1,$B$2),IF(F6=3,INDEX(Supuestos!$C$13:$E$13,1,$B$2),IF(F6=4,INDEX(Supuestos!$C$14:$E$14,1,$B$2),INDEX(Supuestos!$C$15:$E$15,1,$B$2))))-IF(F6=2,INDEX(Supuestos!$C$11:$E$11,1,$B$2),IF(F6=3,INDEX(Supuestos!$C$12:$E$12,1,$B$2),IF(F6=4,INDEX(Supuestos!$C$13:$E$13,1,$B$2),INDEX(Supuestos!$C$14:$E$14,1,$B$2)))))*F7/12)</f>
        <v>43.755</v>
      </c>
      <c r="G10" s="41" t="n">
        <f aca="false">IF(G6=1,INDEX(Supuestos!$C$22:$N$22,1,G7)*INDEX(Supuestos!$C$11:$E$11,1,$B$2),IF(G6=2,INDEX(Supuestos!$C$11:$E$11,1,$B$2),IF(G6=3,INDEX(Supuestos!$C$12:$E$12,1,$B$2),IF(G6=4,INDEX(Supuestos!$C$13:$E$13,1,$B$2),INDEX(Supuestos!$C$14:$E$14,1,$B$2))))+(IF(G6=2,INDEX(Supuestos!$C$12:$E$12,1,$B$2),IF(G6=3,INDEX(Supuestos!$C$13:$E$13,1,$B$2),IF(G6=4,INDEX(Supuestos!$C$14:$E$14,1,$B$2),INDEX(Supuestos!$C$15:$E$15,1,$B$2))))-IF(G6=2,INDEX(Supuestos!$C$11:$E$11,1,$B$2),IF(G6=3,INDEX(Supuestos!$C$12:$E$12,1,$B$2),IF(G6=4,INDEX(Supuestos!$C$13:$E$13,1,$B$2),INDEX(Supuestos!$C$14:$E$14,1,$B$2)))))*G7/12)</f>
        <v>56.25</v>
      </c>
      <c r="H10" s="41" t="n">
        <f aca="false">IF(H6=1,INDEX(Supuestos!$C$22:$N$22,1,H7)*INDEX(Supuestos!$C$11:$E$11,1,$B$2),IF(H6=2,INDEX(Supuestos!$C$11:$E$11,1,$B$2),IF(H6=3,INDEX(Supuestos!$C$12:$E$12,1,$B$2),IF(H6=4,INDEX(Supuestos!$C$13:$E$13,1,$B$2),INDEX(Supuestos!$C$14:$E$14,1,$B$2))))+(IF(H6=2,INDEX(Supuestos!$C$12:$E$12,1,$B$2),IF(H6=3,INDEX(Supuestos!$C$13:$E$13,1,$B$2),IF(H6=4,INDEX(Supuestos!$C$14:$E$14,1,$B$2),INDEX(Supuestos!$C$15:$E$15,1,$B$2))))-IF(H6=2,INDEX(Supuestos!$C$11:$E$11,1,$B$2),IF(H6=3,INDEX(Supuestos!$C$12:$E$12,1,$B$2),IF(H6=4,INDEX(Supuestos!$C$13:$E$13,1,$B$2),INDEX(Supuestos!$C$14:$E$14,1,$B$2)))))*H7/12)</f>
        <v>68.745</v>
      </c>
      <c r="I10" s="41" t="n">
        <f aca="false">IF(I6=1,INDEX(Supuestos!$C$22:$N$22,1,I7)*INDEX(Supuestos!$C$11:$E$11,1,$B$2),IF(I6=2,INDEX(Supuestos!$C$11:$E$11,1,$B$2),IF(I6=3,INDEX(Supuestos!$C$12:$E$12,1,$B$2),IF(I6=4,INDEX(Supuestos!$C$13:$E$13,1,$B$2),INDEX(Supuestos!$C$14:$E$14,1,$B$2))))+(IF(I6=2,INDEX(Supuestos!$C$12:$E$12,1,$B$2),IF(I6=3,INDEX(Supuestos!$C$13:$E$13,1,$B$2),IF(I6=4,INDEX(Supuestos!$C$14:$E$14,1,$B$2),INDEX(Supuestos!$C$15:$E$15,1,$B$2))))-IF(I6=2,INDEX(Supuestos!$C$11:$E$11,1,$B$2),IF(I6=3,INDEX(Supuestos!$C$12:$E$12,1,$B$2),IF(I6=4,INDEX(Supuestos!$C$13:$E$13,1,$B$2),INDEX(Supuestos!$C$14:$E$14,1,$B$2)))))*I7/12)</f>
        <v>81.255</v>
      </c>
      <c r="J10" s="41" t="n">
        <f aca="false">IF(J6=1,INDEX(Supuestos!$C$22:$N$22,1,J7)*INDEX(Supuestos!$C$11:$E$11,1,$B$2),IF(J6=2,INDEX(Supuestos!$C$11:$E$11,1,$B$2),IF(J6=3,INDEX(Supuestos!$C$12:$E$12,1,$B$2),IF(J6=4,INDEX(Supuestos!$C$13:$E$13,1,$B$2),INDEX(Supuestos!$C$14:$E$14,1,$B$2))))+(IF(J6=2,INDEX(Supuestos!$C$12:$E$12,1,$B$2),IF(J6=3,INDEX(Supuestos!$C$13:$E$13,1,$B$2),IF(J6=4,INDEX(Supuestos!$C$14:$E$14,1,$B$2),INDEX(Supuestos!$C$15:$E$15,1,$B$2))))-IF(J6=2,INDEX(Supuestos!$C$11:$E$11,1,$B$2),IF(J6=3,INDEX(Supuestos!$C$12:$E$12,1,$B$2),IF(J6=4,INDEX(Supuestos!$C$13:$E$13,1,$B$2),INDEX(Supuestos!$C$14:$E$14,1,$B$2)))))*J7/12)</f>
        <v>100.005</v>
      </c>
      <c r="K10" s="41" t="n">
        <f aca="false">IF(K6=1,INDEX(Supuestos!$C$22:$N$22,1,K7)*INDEX(Supuestos!$C$11:$E$11,1,$B$2),IF(K6=2,INDEX(Supuestos!$C$11:$E$11,1,$B$2),IF(K6=3,INDEX(Supuestos!$C$12:$E$12,1,$B$2),IF(K6=4,INDEX(Supuestos!$C$13:$E$13,1,$B$2),INDEX(Supuestos!$C$14:$E$14,1,$B$2))))+(IF(K6=2,INDEX(Supuestos!$C$12:$E$12,1,$B$2),IF(K6=3,INDEX(Supuestos!$C$13:$E$13,1,$B$2),IF(K6=4,INDEX(Supuestos!$C$14:$E$14,1,$B$2),INDEX(Supuestos!$C$15:$E$15,1,$B$2))))-IF(K6=2,INDEX(Supuestos!$C$11:$E$11,1,$B$2),IF(K6=3,INDEX(Supuestos!$C$12:$E$12,1,$B$2),IF(K6=4,INDEX(Supuestos!$C$13:$E$13,1,$B$2),INDEX(Supuestos!$C$14:$E$14,1,$B$2)))))*K7/12)</f>
        <v>112.5</v>
      </c>
      <c r="L10" s="41" t="n">
        <f aca="false">IF(L6=1,INDEX(Supuestos!$C$22:$N$22,1,L7)*INDEX(Supuestos!$C$11:$E$11,1,$B$2),IF(L6=2,INDEX(Supuestos!$C$11:$E$11,1,$B$2),IF(L6=3,INDEX(Supuestos!$C$12:$E$12,1,$B$2),IF(L6=4,INDEX(Supuestos!$C$13:$E$13,1,$B$2),INDEX(Supuestos!$C$14:$E$14,1,$B$2))))+(IF(L6=2,INDEX(Supuestos!$C$12:$E$12,1,$B$2),IF(L6=3,INDEX(Supuestos!$C$13:$E$13,1,$B$2),IF(L6=4,INDEX(Supuestos!$C$14:$E$14,1,$B$2),INDEX(Supuestos!$C$15:$E$15,1,$B$2))))-IF(L6=2,INDEX(Supuestos!$C$11:$E$11,1,$B$2),IF(L6=3,INDEX(Supuestos!$C$12:$E$12,1,$B$2),IF(L6=4,INDEX(Supuestos!$C$13:$E$13,1,$B$2),INDEX(Supuestos!$C$14:$E$14,1,$B$2)))))*L7/12)</f>
        <v>124.995</v>
      </c>
      <c r="M10" s="41" t="n">
        <f aca="false">IF(M6=1,INDEX(Supuestos!$C$22:$N$22,1,M7)*INDEX(Supuestos!$C$11:$E$11,1,$B$2),IF(M6=2,INDEX(Supuestos!$C$11:$E$11,1,$B$2),IF(M6=3,INDEX(Supuestos!$C$12:$E$12,1,$B$2),IF(M6=4,INDEX(Supuestos!$C$13:$E$13,1,$B$2),INDEX(Supuestos!$C$14:$E$14,1,$B$2))))+(IF(M6=2,INDEX(Supuestos!$C$12:$E$12,1,$B$2),IF(M6=3,INDEX(Supuestos!$C$13:$E$13,1,$B$2),IF(M6=4,INDEX(Supuestos!$C$14:$E$14,1,$B$2),INDEX(Supuestos!$C$15:$E$15,1,$B$2))))-IF(M6=2,INDEX(Supuestos!$C$11:$E$11,1,$B$2),IF(M6=3,INDEX(Supuestos!$C$12:$E$12,1,$B$2),IF(M6=4,INDEX(Supuestos!$C$13:$E$13,1,$B$2),INDEX(Supuestos!$C$14:$E$14,1,$B$2)))))*M7/12)</f>
        <v>137.505</v>
      </c>
      <c r="N10" s="41" t="n">
        <f aca="false">IF(N6=1,INDEX(Supuestos!$C$22:$N$22,1,N7)*INDEX(Supuestos!$C$11:$E$11,1,$B$2),IF(N6=2,INDEX(Supuestos!$C$11:$E$11,1,$B$2),IF(N6=3,INDEX(Supuestos!$C$12:$E$12,1,$B$2),IF(N6=4,INDEX(Supuestos!$C$13:$E$13,1,$B$2),INDEX(Supuestos!$C$14:$E$14,1,$B$2))))+(IF(N6=2,INDEX(Supuestos!$C$12:$E$12,1,$B$2),IF(N6=3,INDEX(Supuestos!$C$13:$E$13,1,$B$2),IF(N6=4,INDEX(Supuestos!$C$14:$E$14,1,$B$2),INDEX(Supuestos!$C$15:$E$15,1,$B$2))))-IF(N6=2,INDEX(Supuestos!$C$11:$E$11,1,$B$2),IF(N6=3,INDEX(Supuestos!$C$12:$E$12,1,$B$2),IF(N6=4,INDEX(Supuestos!$C$13:$E$13,1,$B$2),INDEX(Supuestos!$C$14:$E$14,1,$B$2)))))*N7/12)</f>
        <v>150</v>
      </c>
      <c r="O10" s="41" t="n">
        <f aca="false">IF(O6=1,INDEX(Supuestos!$C$22:$N$22,1,O7)*INDEX(Supuestos!$C$11:$E$11,1,$B$2),IF(O6=2,INDEX(Supuestos!$C$11:$E$11,1,$B$2),IF(O6=3,INDEX(Supuestos!$C$12:$E$12,1,$B$2),IF(O6=4,INDEX(Supuestos!$C$13:$E$13,1,$B$2),INDEX(Supuestos!$C$14:$E$14,1,$B$2))))+(IF(O6=2,INDEX(Supuestos!$C$12:$E$12,1,$B$2),IF(O6=3,INDEX(Supuestos!$C$13:$E$13,1,$B$2),IF(O6=4,INDEX(Supuestos!$C$14:$E$14,1,$B$2),INDEX(Supuestos!$C$15:$E$15,1,$B$2))))-IF(O6=2,INDEX(Supuestos!$C$11:$E$11,1,$B$2),IF(O6=3,INDEX(Supuestos!$C$12:$E$12,1,$B$2),IF(O6=4,INDEX(Supuestos!$C$13:$E$13,1,$B$2),INDEX(Supuestos!$C$14:$E$14,1,$B$2)))))*O7/12)</f>
        <v>170.833333333333</v>
      </c>
      <c r="P10" s="41" t="n">
        <f aca="false">IF(P6=1,INDEX(Supuestos!$C$22:$N$22,1,P7)*INDEX(Supuestos!$C$11:$E$11,1,$B$2),IF(P6=2,INDEX(Supuestos!$C$11:$E$11,1,$B$2),IF(P6=3,INDEX(Supuestos!$C$12:$E$12,1,$B$2),IF(P6=4,INDEX(Supuestos!$C$13:$E$13,1,$B$2),INDEX(Supuestos!$C$14:$E$14,1,$B$2))))+(IF(P6=2,INDEX(Supuestos!$C$12:$E$12,1,$B$2),IF(P6=3,INDEX(Supuestos!$C$13:$E$13,1,$B$2),IF(P6=4,INDEX(Supuestos!$C$14:$E$14,1,$B$2),INDEX(Supuestos!$C$15:$E$15,1,$B$2))))-IF(P6=2,INDEX(Supuestos!$C$11:$E$11,1,$B$2),IF(P6=3,INDEX(Supuestos!$C$12:$E$12,1,$B$2),IF(P6=4,INDEX(Supuestos!$C$13:$E$13,1,$B$2),INDEX(Supuestos!$C$14:$E$14,1,$B$2)))))*P7/12)</f>
        <v>191.666666666667</v>
      </c>
      <c r="Q10" s="41" t="n">
        <f aca="false">IF(Q6=1,INDEX(Supuestos!$C$22:$N$22,1,Q7)*INDEX(Supuestos!$C$11:$E$11,1,$B$2),IF(Q6=2,INDEX(Supuestos!$C$11:$E$11,1,$B$2),IF(Q6=3,INDEX(Supuestos!$C$12:$E$12,1,$B$2),IF(Q6=4,INDEX(Supuestos!$C$13:$E$13,1,$B$2),INDEX(Supuestos!$C$14:$E$14,1,$B$2))))+(IF(Q6=2,INDEX(Supuestos!$C$12:$E$12,1,$B$2),IF(Q6=3,INDEX(Supuestos!$C$13:$E$13,1,$B$2),IF(Q6=4,INDEX(Supuestos!$C$14:$E$14,1,$B$2),INDEX(Supuestos!$C$15:$E$15,1,$B$2))))-IF(Q6=2,INDEX(Supuestos!$C$11:$E$11,1,$B$2),IF(Q6=3,INDEX(Supuestos!$C$12:$E$12,1,$B$2),IF(Q6=4,INDEX(Supuestos!$C$13:$E$13,1,$B$2),INDEX(Supuestos!$C$14:$E$14,1,$B$2)))))*Q7/12)</f>
        <v>212.5</v>
      </c>
      <c r="R10" s="41" t="n">
        <f aca="false">IF(R6=1,INDEX(Supuestos!$C$22:$N$22,1,R7)*INDEX(Supuestos!$C$11:$E$11,1,$B$2),IF(R6=2,INDEX(Supuestos!$C$11:$E$11,1,$B$2),IF(R6=3,INDEX(Supuestos!$C$12:$E$12,1,$B$2),IF(R6=4,INDEX(Supuestos!$C$13:$E$13,1,$B$2),INDEX(Supuestos!$C$14:$E$14,1,$B$2))))+(IF(R6=2,INDEX(Supuestos!$C$12:$E$12,1,$B$2),IF(R6=3,INDEX(Supuestos!$C$13:$E$13,1,$B$2),IF(R6=4,INDEX(Supuestos!$C$14:$E$14,1,$B$2),INDEX(Supuestos!$C$15:$E$15,1,$B$2))))-IF(R6=2,INDEX(Supuestos!$C$11:$E$11,1,$B$2),IF(R6=3,INDEX(Supuestos!$C$12:$E$12,1,$B$2),IF(R6=4,INDEX(Supuestos!$C$13:$E$13,1,$B$2),INDEX(Supuestos!$C$14:$E$14,1,$B$2)))))*R7/12)</f>
        <v>233.333333333333</v>
      </c>
      <c r="S10" s="41" t="n">
        <f aca="false">IF(S6=1,INDEX(Supuestos!$C$22:$N$22,1,S7)*INDEX(Supuestos!$C$11:$E$11,1,$B$2),IF(S6=2,INDEX(Supuestos!$C$11:$E$11,1,$B$2),IF(S6=3,INDEX(Supuestos!$C$12:$E$12,1,$B$2),IF(S6=4,INDEX(Supuestos!$C$13:$E$13,1,$B$2),INDEX(Supuestos!$C$14:$E$14,1,$B$2))))+(IF(S6=2,INDEX(Supuestos!$C$12:$E$12,1,$B$2),IF(S6=3,INDEX(Supuestos!$C$13:$E$13,1,$B$2),IF(S6=4,INDEX(Supuestos!$C$14:$E$14,1,$B$2),INDEX(Supuestos!$C$15:$E$15,1,$B$2))))-IF(S6=2,INDEX(Supuestos!$C$11:$E$11,1,$B$2),IF(S6=3,INDEX(Supuestos!$C$12:$E$12,1,$B$2),IF(S6=4,INDEX(Supuestos!$C$13:$E$13,1,$B$2),INDEX(Supuestos!$C$14:$E$14,1,$B$2)))))*S7/12)</f>
        <v>254.166666666667</v>
      </c>
      <c r="T10" s="41" t="n">
        <f aca="false">IF(T6=1,INDEX(Supuestos!$C$22:$N$22,1,T7)*INDEX(Supuestos!$C$11:$E$11,1,$B$2),IF(T6=2,INDEX(Supuestos!$C$11:$E$11,1,$B$2),IF(T6=3,INDEX(Supuestos!$C$12:$E$12,1,$B$2),IF(T6=4,INDEX(Supuestos!$C$13:$E$13,1,$B$2),INDEX(Supuestos!$C$14:$E$14,1,$B$2))))+(IF(T6=2,INDEX(Supuestos!$C$12:$E$12,1,$B$2),IF(T6=3,INDEX(Supuestos!$C$13:$E$13,1,$B$2),IF(T6=4,INDEX(Supuestos!$C$14:$E$14,1,$B$2),INDEX(Supuestos!$C$15:$E$15,1,$B$2))))-IF(T6=2,INDEX(Supuestos!$C$11:$E$11,1,$B$2),IF(T6=3,INDEX(Supuestos!$C$12:$E$12,1,$B$2),IF(T6=4,INDEX(Supuestos!$C$13:$E$13,1,$B$2),INDEX(Supuestos!$C$14:$E$14,1,$B$2)))))*T7/12)</f>
        <v>275</v>
      </c>
      <c r="U10" s="41" t="n">
        <f aca="false">IF(U6=1,INDEX(Supuestos!$C$22:$N$22,1,U7)*INDEX(Supuestos!$C$11:$E$11,1,$B$2),IF(U6=2,INDEX(Supuestos!$C$11:$E$11,1,$B$2),IF(U6=3,INDEX(Supuestos!$C$12:$E$12,1,$B$2),IF(U6=4,INDEX(Supuestos!$C$13:$E$13,1,$B$2),INDEX(Supuestos!$C$14:$E$14,1,$B$2))))+(IF(U6=2,INDEX(Supuestos!$C$12:$E$12,1,$B$2),IF(U6=3,INDEX(Supuestos!$C$13:$E$13,1,$B$2),IF(U6=4,INDEX(Supuestos!$C$14:$E$14,1,$B$2),INDEX(Supuestos!$C$15:$E$15,1,$B$2))))-IF(U6=2,INDEX(Supuestos!$C$11:$E$11,1,$B$2),IF(U6=3,INDEX(Supuestos!$C$12:$E$12,1,$B$2),IF(U6=4,INDEX(Supuestos!$C$13:$E$13,1,$B$2),INDEX(Supuestos!$C$14:$E$14,1,$B$2)))))*U7/12)</f>
        <v>295.833333333333</v>
      </c>
      <c r="V10" s="41" t="n">
        <f aca="false">IF(V6=1,INDEX(Supuestos!$C$22:$N$22,1,V7)*INDEX(Supuestos!$C$11:$E$11,1,$B$2),IF(V6=2,INDEX(Supuestos!$C$11:$E$11,1,$B$2),IF(V6=3,INDEX(Supuestos!$C$12:$E$12,1,$B$2),IF(V6=4,INDEX(Supuestos!$C$13:$E$13,1,$B$2),INDEX(Supuestos!$C$14:$E$14,1,$B$2))))+(IF(V6=2,INDEX(Supuestos!$C$12:$E$12,1,$B$2),IF(V6=3,INDEX(Supuestos!$C$13:$E$13,1,$B$2),IF(V6=4,INDEX(Supuestos!$C$14:$E$14,1,$B$2),INDEX(Supuestos!$C$15:$E$15,1,$B$2))))-IF(V6=2,INDEX(Supuestos!$C$11:$E$11,1,$B$2),IF(V6=3,INDEX(Supuestos!$C$12:$E$12,1,$B$2),IF(V6=4,INDEX(Supuestos!$C$13:$E$13,1,$B$2),INDEX(Supuestos!$C$14:$E$14,1,$B$2)))))*V7/12)</f>
        <v>316.666666666667</v>
      </c>
      <c r="W10" s="41" t="n">
        <f aca="false">IF(W6=1,INDEX(Supuestos!$C$22:$N$22,1,W7)*INDEX(Supuestos!$C$11:$E$11,1,$B$2),IF(W6=2,INDEX(Supuestos!$C$11:$E$11,1,$B$2),IF(W6=3,INDEX(Supuestos!$C$12:$E$12,1,$B$2),IF(W6=4,INDEX(Supuestos!$C$13:$E$13,1,$B$2),INDEX(Supuestos!$C$14:$E$14,1,$B$2))))+(IF(W6=2,INDEX(Supuestos!$C$12:$E$12,1,$B$2),IF(W6=3,INDEX(Supuestos!$C$13:$E$13,1,$B$2),IF(W6=4,INDEX(Supuestos!$C$14:$E$14,1,$B$2),INDEX(Supuestos!$C$15:$E$15,1,$B$2))))-IF(W6=2,INDEX(Supuestos!$C$11:$E$11,1,$B$2),IF(W6=3,INDEX(Supuestos!$C$12:$E$12,1,$B$2),IF(W6=4,INDEX(Supuestos!$C$13:$E$13,1,$B$2),INDEX(Supuestos!$C$14:$E$14,1,$B$2)))))*W7/12)</f>
        <v>337.5</v>
      </c>
      <c r="X10" s="41" t="n">
        <f aca="false">IF(X6=1,INDEX(Supuestos!$C$22:$N$22,1,X7)*INDEX(Supuestos!$C$11:$E$11,1,$B$2),IF(X6=2,INDEX(Supuestos!$C$11:$E$11,1,$B$2),IF(X6=3,INDEX(Supuestos!$C$12:$E$12,1,$B$2),IF(X6=4,INDEX(Supuestos!$C$13:$E$13,1,$B$2),INDEX(Supuestos!$C$14:$E$14,1,$B$2))))+(IF(X6=2,INDEX(Supuestos!$C$12:$E$12,1,$B$2),IF(X6=3,INDEX(Supuestos!$C$13:$E$13,1,$B$2),IF(X6=4,INDEX(Supuestos!$C$14:$E$14,1,$B$2),INDEX(Supuestos!$C$15:$E$15,1,$B$2))))-IF(X6=2,INDEX(Supuestos!$C$11:$E$11,1,$B$2),IF(X6=3,INDEX(Supuestos!$C$12:$E$12,1,$B$2),IF(X6=4,INDEX(Supuestos!$C$13:$E$13,1,$B$2),INDEX(Supuestos!$C$14:$E$14,1,$B$2)))))*X7/12)</f>
        <v>358.333333333333</v>
      </c>
      <c r="Y10" s="41" t="n">
        <f aca="false">IF(Y6=1,INDEX(Supuestos!$C$22:$N$22,1,Y7)*INDEX(Supuestos!$C$11:$E$11,1,$B$2),IF(Y6=2,INDEX(Supuestos!$C$11:$E$11,1,$B$2),IF(Y6=3,INDEX(Supuestos!$C$12:$E$12,1,$B$2),IF(Y6=4,INDEX(Supuestos!$C$13:$E$13,1,$B$2),INDEX(Supuestos!$C$14:$E$14,1,$B$2))))+(IF(Y6=2,INDEX(Supuestos!$C$12:$E$12,1,$B$2),IF(Y6=3,INDEX(Supuestos!$C$13:$E$13,1,$B$2),IF(Y6=4,INDEX(Supuestos!$C$14:$E$14,1,$B$2),INDEX(Supuestos!$C$15:$E$15,1,$B$2))))-IF(Y6=2,INDEX(Supuestos!$C$11:$E$11,1,$B$2),IF(Y6=3,INDEX(Supuestos!$C$12:$E$12,1,$B$2),IF(Y6=4,INDEX(Supuestos!$C$13:$E$13,1,$B$2),INDEX(Supuestos!$C$14:$E$14,1,$B$2)))))*Y7/12)</f>
        <v>379.166666666667</v>
      </c>
      <c r="Z10" s="41" t="n">
        <f aca="false">IF(Z6=1,INDEX(Supuestos!$C$22:$N$22,1,Z7)*INDEX(Supuestos!$C$11:$E$11,1,$B$2),IF(Z6=2,INDEX(Supuestos!$C$11:$E$11,1,$B$2),IF(Z6=3,INDEX(Supuestos!$C$12:$E$12,1,$B$2),IF(Z6=4,INDEX(Supuestos!$C$13:$E$13,1,$B$2),INDEX(Supuestos!$C$14:$E$14,1,$B$2))))+(IF(Z6=2,INDEX(Supuestos!$C$12:$E$12,1,$B$2),IF(Z6=3,INDEX(Supuestos!$C$13:$E$13,1,$B$2),IF(Z6=4,INDEX(Supuestos!$C$14:$E$14,1,$B$2),INDEX(Supuestos!$C$15:$E$15,1,$B$2))))-IF(Z6=2,INDEX(Supuestos!$C$11:$E$11,1,$B$2),IF(Z6=3,INDEX(Supuestos!$C$12:$E$12,1,$B$2),IF(Z6=4,INDEX(Supuestos!$C$13:$E$13,1,$B$2),INDEX(Supuestos!$C$14:$E$14,1,$B$2)))))*Z7/12)</f>
        <v>400</v>
      </c>
      <c r="AA10" s="41" t="n">
        <f aca="false">IF(AA6=1,INDEX(Supuestos!$C$22:$N$22,1,AA7)*INDEX(Supuestos!$C$11:$E$11,1,$B$2),IF(AA6=2,INDEX(Supuestos!$C$11:$E$11,1,$B$2),IF(AA6=3,INDEX(Supuestos!$C$12:$E$12,1,$B$2),IF(AA6=4,INDEX(Supuestos!$C$13:$E$13,1,$B$2),INDEX(Supuestos!$C$14:$E$14,1,$B$2))))+(IF(AA6=2,INDEX(Supuestos!$C$12:$E$12,1,$B$2),IF(AA6=3,INDEX(Supuestos!$C$13:$E$13,1,$B$2),IF(AA6=4,INDEX(Supuestos!$C$14:$E$14,1,$B$2),INDEX(Supuestos!$C$15:$E$15,1,$B$2))))-IF(AA6=2,INDEX(Supuestos!$C$11:$E$11,1,$B$2),IF(AA6=3,INDEX(Supuestos!$C$12:$E$12,1,$B$2),IF(AA6=4,INDEX(Supuestos!$C$13:$E$13,1,$B$2),INDEX(Supuestos!$C$14:$E$14,1,$B$2)))))*AA7/12)</f>
        <v>433.333333333333</v>
      </c>
      <c r="AB10" s="41" t="n">
        <f aca="false">IF(AB6=1,INDEX(Supuestos!$C$22:$N$22,1,AB7)*INDEX(Supuestos!$C$11:$E$11,1,$B$2),IF(AB6=2,INDEX(Supuestos!$C$11:$E$11,1,$B$2),IF(AB6=3,INDEX(Supuestos!$C$12:$E$12,1,$B$2),IF(AB6=4,INDEX(Supuestos!$C$13:$E$13,1,$B$2),INDEX(Supuestos!$C$14:$E$14,1,$B$2))))+(IF(AB6=2,INDEX(Supuestos!$C$12:$E$12,1,$B$2),IF(AB6=3,INDEX(Supuestos!$C$13:$E$13,1,$B$2),IF(AB6=4,INDEX(Supuestos!$C$14:$E$14,1,$B$2),INDEX(Supuestos!$C$15:$E$15,1,$B$2))))-IF(AB6=2,INDEX(Supuestos!$C$11:$E$11,1,$B$2),IF(AB6=3,INDEX(Supuestos!$C$12:$E$12,1,$B$2),IF(AB6=4,INDEX(Supuestos!$C$13:$E$13,1,$B$2),INDEX(Supuestos!$C$14:$E$14,1,$B$2)))))*AB7/12)</f>
        <v>466.666666666667</v>
      </c>
      <c r="AC10" s="41" t="n">
        <f aca="false">IF(AC6=1,INDEX(Supuestos!$C$22:$N$22,1,AC7)*INDEX(Supuestos!$C$11:$E$11,1,$B$2),IF(AC6=2,INDEX(Supuestos!$C$11:$E$11,1,$B$2),IF(AC6=3,INDEX(Supuestos!$C$12:$E$12,1,$B$2),IF(AC6=4,INDEX(Supuestos!$C$13:$E$13,1,$B$2),INDEX(Supuestos!$C$14:$E$14,1,$B$2))))+(IF(AC6=2,INDEX(Supuestos!$C$12:$E$12,1,$B$2),IF(AC6=3,INDEX(Supuestos!$C$13:$E$13,1,$B$2),IF(AC6=4,INDEX(Supuestos!$C$14:$E$14,1,$B$2),INDEX(Supuestos!$C$15:$E$15,1,$B$2))))-IF(AC6=2,INDEX(Supuestos!$C$11:$E$11,1,$B$2),IF(AC6=3,INDEX(Supuestos!$C$12:$E$12,1,$B$2),IF(AC6=4,INDEX(Supuestos!$C$13:$E$13,1,$B$2),INDEX(Supuestos!$C$14:$E$14,1,$B$2)))))*AC7/12)</f>
        <v>500</v>
      </c>
      <c r="AD10" s="41" t="n">
        <f aca="false">IF(AD6=1,INDEX(Supuestos!$C$22:$N$22,1,AD7)*INDEX(Supuestos!$C$11:$E$11,1,$B$2),IF(AD6=2,INDEX(Supuestos!$C$11:$E$11,1,$B$2),IF(AD6=3,INDEX(Supuestos!$C$12:$E$12,1,$B$2),IF(AD6=4,INDEX(Supuestos!$C$13:$E$13,1,$B$2),INDEX(Supuestos!$C$14:$E$14,1,$B$2))))+(IF(AD6=2,INDEX(Supuestos!$C$12:$E$12,1,$B$2),IF(AD6=3,INDEX(Supuestos!$C$13:$E$13,1,$B$2),IF(AD6=4,INDEX(Supuestos!$C$14:$E$14,1,$B$2),INDEX(Supuestos!$C$15:$E$15,1,$B$2))))-IF(AD6=2,INDEX(Supuestos!$C$11:$E$11,1,$B$2),IF(AD6=3,INDEX(Supuestos!$C$12:$E$12,1,$B$2),IF(AD6=4,INDEX(Supuestos!$C$13:$E$13,1,$B$2),INDEX(Supuestos!$C$14:$E$14,1,$B$2)))))*AD7/12)</f>
        <v>533.333333333333</v>
      </c>
      <c r="AE10" s="41" t="n">
        <f aca="false">IF(AE6=1,INDEX(Supuestos!$C$22:$N$22,1,AE7)*INDEX(Supuestos!$C$11:$E$11,1,$B$2),IF(AE6=2,INDEX(Supuestos!$C$11:$E$11,1,$B$2),IF(AE6=3,INDEX(Supuestos!$C$12:$E$12,1,$B$2),IF(AE6=4,INDEX(Supuestos!$C$13:$E$13,1,$B$2),INDEX(Supuestos!$C$14:$E$14,1,$B$2))))+(IF(AE6=2,INDEX(Supuestos!$C$12:$E$12,1,$B$2),IF(AE6=3,INDEX(Supuestos!$C$13:$E$13,1,$B$2),IF(AE6=4,INDEX(Supuestos!$C$14:$E$14,1,$B$2),INDEX(Supuestos!$C$15:$E$15,1,$B$2))))-IF(AE6=2,INDEX(Supuestos!$C$11:$E$11,1,$B$2),IF(AE6=3,INDEX(Supuestos!$C$12:$E$12,1,$B$2),IF(AE6=4,INDEX(Supuestos!$C$13:$E$13,1,$B$2),INDEX(Supuestos!$C$14:$E$14,1,$B$2)))))*AE7/12)</f>
        <v>566.666666666667</v>
      </c>
      <c r="AF10" s="41" t="n">
        <f aca="false">IF(AF6=1,INDEX(Supuestos!$C$22:$N$22,1,AF7)*INDEX(Supuestos!$C$11:$E$11,1,$B$2),IF(AF6=2,INDEX(Supuestos!$C$11:$E$11,1,$B$2),IF(AF6=3,INDEX(Supuestos!$C$12:$E$12,1,$B$2),IF(AF6=4,INDEX(Supuestos!$C$13:$E$13,1,$B$2),INDEX(Supuestos!$C$14:$E$14,1,$B$2))))+(IF(AF6=2,INDEX(Supuestos!$C$12:$E$12,1,$B$2),IF(AF6=3,INDEX(Supuestos!$C$13:$E$13,1,$B$2),IF(AF6=4,INDEX(Supuestos!$C$14:$E$14,1,$B$2),INDEX(Supuestos!$C$15:$E$15,1,$B$2))))-IF(AF6=2,INDEX(Supuestos!$C$11:$E$11,1,$B$2),IF(AF6=3,INDEX(Supuestos!$C$12:$E$12,1,$B$2),IF(AF6=4,INDEX(Supuestos!$C$13:$E$13,1,$B$2),INDEX(Supuestos!$C$14:$E$14,1,$B$2)))))*AF7/12)</f>
        <v>600</v>
      </c>
      <c r="AG10" s="41" t="n">
        <f aca="false">IF(AG6=1,INDEX(Supuestos!$C$22:$N$22,1,AG7)*INDEX(Supuestos!$C$11:$E$11,1,$B$2),IF(AG6=2,INDEX(Supuestos!$C$11:$E$11,1,$B$2),IF(AG6=3,INDEX(Supuestos!$C$12:$E$12,1,$B$2),IF(AG6=4,INDEX(Supuestos!$C$13:$E$13,1,$B$2),INDEX(Supuestos!$C$14:$E$14,1,$B$2))))+(IF(AG6=2,INDEX(Supuestos!$C$12:$E$12,1,$B$2),IF(AG6=3,INDEX(Supuestos!$C$13:$E$13,1,$B$2),IF(AG6=4,INDEX(Supuestos!$C$14:$E$14,1,$B$2),INDEX(Supuestos!$C$15:$E$15,1,$B$2))))-IF(AG6=2,INDEX(Supuestos!$C$11:$E$11,1,$B$2),IF(AG6=3,INDEX(Supuestos!$C$12:$E$12,1,$B$2),IF(AG6=4,INDEX(Supuestos!$C$13:$E$13,1,$B$2),INDEX(Supuestos!$C$14:$E$14,1,$B$2)))))*AG7/12)</f>
        <v>633.333333333333</v>
      </c>
      <c r="AH10" s="41" t="n">
        <f aca="false">IF(AH6=1,INDEX(Supuestos!$C$22:$N$22,1,AH7)*INDEX(Supuestos!$C$11:$E$11,1,$B$2),IF(AH6=2,INDEX(Supuestos!$C$11:$E$11,1,$B$2),IF(AH6=3,INDEX(Supuestos!$C$12:$E$12,1,$B$2),IF(AH6=4,INDEX(Supuestos!$C$13:$E$13,1,$B$2),INDEX(Supuestos!$C$14:$E$14,1,$B$2))))+(IF(AH6=2,INDEX(Supuestos!$C$12:$E$12,1,$B$2),IF(AH6=3,INDEX(Supuestos!$C$13:$E$13,1,$B$2),IF(AH6=4,INDEX(Supuestos!$C$14:$E$14,1,$B$2),INDEX(Supuestos!$C$15:$E$15,1,$B$2))))-IF(AH6=2,INDEX(Supuestos!$C$11:$E$11,1,$B$2),IF(AH6=3,INDEX(Supuestos!$C$12:$E$12,1,$B$2),IF(AH6=4,INDEX(Supuestos!$C$13:$E$13,1,$B$2),INDEX(Supuestos!$C$14:$E$14,1,$B$2)))))*AH7/12)</f>
        <v>666.666666666667</v>
      </c>
      <c r="AI10" s="41" t="n">
        <f aca="false">IF(AI6=1,INDEX(Supuestos!$C$22:$N$22,1,AI7)*INDEX(Supuestos!$C$11:$E$11,1,$B$2),IF(AI6=2,INDEX(Supuestos!$C$11:$E$11,1,$B$2),IF(AI6=3,INDEX(Supuestos!$C$12:$E$12,1,$B$2),IF(AI6=4,INDEX(Supuestos!$C$13:$E$13,1,$B$2),INDEX(Supuestos!$C$14:$E$14,1,$B$2))))+(IF(AI6=2,INDEX(Supuestos!$C$12:$E$12,1,$B$2),IF(AI6=3,INDEX(Supuestos!$C$13:$E$13,1,$B$2),IF(AI6=4,INDEX(Supuestos!$C$14:$E$14,1,$B$2),INDEX(Supuestos!$C$15:$E$15,1,$B$2))))-IF(AI6=2,INDEX(Supuestos!$C$11:$E$11,1,$B$2),IF(AI6=3,INDEX(Supuestos!$C$12:$E$12,1,$B$2),IF(AI6=4,INDEX(Supuestos!$C$13:$E$13,1,$B$2),INDEX(Supuestos!$C$14:$E$14,1,$B$2)))))*AI7/12)</f>
        <v>700</v>
      </c>
      <c r="AJ10" s="41" t="n">
        <f aca="false">IF(AJ6=1,INDEX(Supuestos!$C$22:$N$22,1,AJ7)*INDEX(Supuestos!$C$11:$E$11,1,$B$2),IF(AJ6=2,INDEX(Supuestos!$C$11:$E$11,1,$B$2),IF(AJ6=3,INDEX(Supuestos!$C$12:$E$12,1,$B$2),IF(AJ6=4,INDEX(Supuestos!$C$13:$E$13,1,$B$2),INDEX(Supuestos!$C$14:$E$14,1,$B$2))))+(IF(AJ6=2,INDEX(Supuestos!$C$12:$E$12,1,$B$2),IF(AJ6=3,INDEX(Supuestos!$C$13:$E$13,1,$B$2),IF(AJ6=4,INDEX(Supuestos!$C$14:$E$14,1,$B$2),INDEX(Supuestos!$C$15:$E$15,1,$B$2))))-IF(AJ6=2,INDEX(Supuestos!$C$11:$E$11,1,$B$2),IF(AJ6=3,INDEX(Supuestos!$C$12:$E$12,1,$B$2),IF(AJ6=4,INDEX(Supuestos!$C$13:$E$13,1,$B$2),INDEX(Supuestos!$C$14:$E$14,1,$B$2)))))*AJ7/12)</f>
        <v>733.333333333333</v>
      </c>
      <c r="AK10" s="41" t="n">
        <f aca="false">IF(AK6=1,INDEX(Supuestos!$C$22:$N$22,1,AK7)*INDEX(Supuestos!$C$11:$E$11,1,$B$2),IF(AK6=2,INDEX(Supuestos!$C$11:$E$11,1,$B$2),IF(AK6=3,INDEX(Supuestos!$C$12:$E$12,1,$B$2),IF(AK6=4,INDEX(Supuestos!$C$13:$E$13,1,$B$2),INDEX(Supuestos!$C$14:$E$14,1,$B$2))))+(IF(AK6=2,INDEX(Supuestos!$C$12:$E$12,1,$B$2),IF(AK6=3,INDEX(Supuestos!$C$13:$E$13,1,$B$2),IF(AK6=4,INDEX(Supuestos!$C$14:$E$14,1,$B$2),INDEX(Supuestos!$C$15:$E$15,1,$B$2))))-IF(AK6=2,INDEX(Supuestos!$C$11:$E$11,1,$B$2),IF(AK6=3,INDEX(Supuestos!$C$12:$E$12,1,$B$2),IF(AK6=4,INDEX(Supuestos!$C$13:$E$13,1,$B$2),INDEX(Supuestos!$C$14:$E$14,1,$B$2)))))*AK7/12)</f>
        <v>766.666666666667</v>
      </c>
      <c r="AL10" s="41" t="n">
        <f aca="false">IF(AL6=1,INDEX(Supuestos!$C$22:$N$22,1,AL7)*INDEX(Supuestos!$C$11:$E$11,1,$B$2),IF(AL6=2,INDEX(Supuestos!$C$11:$E$11,1,$B$2),IF(AL6=3,INDEX(Supuestos!$C$12:$E$12,1,$B$2),IF(AL6=4,INDEX(Supuestos!$C$13:$E$13,1,$B$2),INDEX(Supuestos!$C$14:$E$14,1,$B$2))))+(IF(AL6=2,INDEX(Supuestos!$C$12:$E$12,1,$B$2),IF(AL6=3,INDEX(Supuestos!$C$13:$E$13,1,$B$2),IF(AL6=4,INDEX(Supuestos!$C$14:$E$14,1,$B$2),INDEX(Supuestos!$C$15:$E$15,1,$B$2))))-IF(AL6=2,INDEX(Supuestos!$C$11:$E$11,1,$B$2),IF(AL6=3,INDEX(Supuestos!$C$12:$E$12,1,$B$2),IF(AL6=4,INDEX(Supuestos!$C$13:$E$13,1,$B$2),INDEX(Supuestos!$C$14:$E$14,1,$B$2)))))*AL7/12)</f>
        <v>800</v>
      </c>
      <c r="AM10" s="41" t="n">
        <f aca="false">IF(AM6=1,INDEX(Supuestos!$C$22:$N$22,1,AM7)*INDEX(Supuestos!$C$11:$E$11,1,$B$2),IF(AM6=2,INDEX(Supuestos!$C$11:$E$11,1,$B$2),IF(AM6=3,INDEX(Supuestos!$C$12:$E$12,1,$B$2),IF(AM6=4,INDEX(Supuestos!$C$13:$E$13,1,$B$2),INDEX(Supuestos!$C$14:$E$14,1,$B$2))))+(IF(AM6=2,INDEX(Supuestos!$C$12:$E$12,1,$B$2),IF(AM6=3,INDEX(Supuestos!$C$13:$E$13,1,$B$2),IF(AM6=4,INDEX(Supuestos!$C$14:$E$14,1,$B$2),INDEX(Supuestos!$C$15:$E$15,1,$B$2))))-IF(AM6=2,INDEX(Supuestos!$C$11:$E$11,1,$B$2),IF(AM6=3,INDEX(Supuestos!$C$12:$E$12,1,$B$2),IF(AM6=4,INDEX(Supuestos!$C$13:$E$13,1,$B$2),INDEX(Supuestos!$C$14:$E$14,1,$B$2)))))*AM7/12)</f>
        <v>833.333333333333</v>
      </c>
      <c r="AN10" s="41" t="n">
        <f aca="false">IF(AN6=1,INDEX(Supuestos!$C$22:$N$22,1,AN7)*INDEX(Supuestos!$C$11:$E$11,1,$B$2),IF(AN6=2,INDEX(Supuestos!$C$11:$E$11,1,$B$2),IF(AN6=3,INDEX(Supuestos!$C$12:$E$12,1,$B$2),IF(AN6=4,INDEX(Supuestos!$C$13:$E$13,1,$B$2),INDEX(Supuestos!$C$14:$E$14,1,$B$2))))+(IF(AN6=2,INDEX(Supuestos!$C$12:$E$12,1,$B$2),IF(AN6=3,INDEX(Supuestos!$C$13:$E$13,1,$B$2),IF(AN6=4,INDEX(Supuestos!$C$14:$E$14,1,$B$2),INDEX(Supuestos!$C$15:$E$15,1,$B$2))))-IF(AN6=2,INDEX(Supuestos!$C$11:$E$11,1,$B$2),IF(AN6=3,INDEX(Supuestos!$C$12:$E$12,1,$B$2),IF(AN6=4,INDEX(Supuestos!$C$13:$E$13,1,$B$2),INDEX(Supuestos!$C$14:$E$14,1,$B$2)))))*AN7/12)</f>
        <v>866.666666666667</v>
      </c>
      <c r="AO10" s="41" t="n">
        <f aca="false">IF(AO6=1,INDEX(Supuestos!$C$22:$N$22,1,AO7)*INDEX(Supuestos!$C$11:$E$11,1,$B$2),IF(AO6=2,INDEX(Supuestos!$C$11:$E$11,1,$B$2),IF(AO6=3,INDEX(Supuestos!$C$12:$E$12,1,$B$2),IF(AO6=4,INDEX(Supuestos!$C$13:$E$13,1,$B$2),INDEX(Supuestos!$C$14:$E$14,1,$B$2))))+(IF(AO6=2,INDEX(Supuestos!$C$12:$E$12,1,$B$2),IF(AO6=3,INDEX(Supuestos!$C$13:$E$13,1,$B$2),IF(AO6=4,INDEX(Supuestos!$C$14:$E$14,1,$B$2),INDEX(Supuestos!$C$15:$E$15,1,$B$2))))-IF(AO6=2,INDEX(Supuestos!$C$11:$E$11,1,$B$2),IF(AO6=3,INDEX(Supuestos!$C$12:$E$12,1,$B$2),IF(AO6=4,INDEX(Supuestos!$C$13:$E$13,1,$B$2),INDEX(Supuestos!$C$14:$E$14,1,$B$2)))))*AO7/12)</f>
        <v>900</v>
      </c>
      <c r="AP10" s="41" t="n">
        <f aca="false">IF(AP6=1,INDEX(Supuestos!$C$22:$N$22,1,AP7)*INDEX(Supuestos!$C$11:$E$11,1,$B$2),IF(AP6=2,INDEX(Supuestos!$C$11:$E$11,1,$B$2),IF(AP6=3,INDEX(Supuestos!$C$12:$E$12,1,$B$2),IF(AP6=4,INDEX(Supuestos!$C$13:$E$13,1,$B$2),INDEX(Supuestos!$C$14:$E$14,1,$B$2))))+(IF(AP6=2,INDEX(Supuestos!$C$12:$E$12,1,$B$2),IF(AP6=3,INDEX(Supuestos!$C$13:$E$13,1,$B$2),IF(AP6=4,INDEX(Supuestos!$C$14:$E$14,1,$B$2),INDEX(Supuestos!$C$15:$E$15,1,$B$2))))-IF(AP6=2,INDEX(Supuestos!$C$11:$E$11,1,$B$2),IF(AP6=3,INDEX(Supuestos!$C$12:$E$12,1,$B$2),IF(AP6=4,INDEX(Supuestos!$C$13:$E$13,1,$B$2),INDEX(Supuestos!$C$14:$E$14,1,$B$2)))))*AP7/12)</f>
        <v>933.333333333333</v>
      </c>
      <c r="AQ10" s="41" t="n">
        <f aca="false">IF(AQ6=1,INDEX(Supuestos!$C$22:$N$22,1,AQ7)*INDEX(Supuestos!$C$11:$E$11,1,$B$2),IF(AQ6=2,INDEX(Supuestos!$C$11:$E$11,1,$B$2),IF(AQ6=3,INDEX(Supuestos!$C$12:$E$12,1,$B$2),IF(AQ6=4,INDEX(Supuestos!$C$13:$E$13,1,$B$2),INDEX(Supuestos!$C$14:$E$14,1,$B$2))))+(IF(AQ6=2,INDEX(Supuestos!$C$12:$E$12,1,$B$2),IF(AQ6=3,INDEX(Supuestos!$C$13:$E$13,1,$B$2),IF(AQ6=4,INDEX(Supuestos!$C$14:$E$14,1,$B$2),INDEX(Supuestos!$C$15:$E$15,1,$B$2))))-IF(AQ6=2,INDEX(Supuestos!$C$11:$E$11,1,$B$2),IF(AQ6=3,INDEX(Supuestos!$C$12:$E$12,1,$B$2),IF(AQ6=4,INDEX(Supuestos!$C$13:$E$13,1,$B$2),INDEX(Supuestos!$C$14:$E$14,1,$B$2)))))*AQ7/12)</f>
        <v>966.666666666667</v>
      </c>
      <c r="AR10" s="41" t="n">
        <f aca="false">IF(AR6=1,INDEX(Supuestos!$C$22:$N$22,1,AR7)*INDEX(Supuestos!$C$11:$E$11,1,$B$2),IF(AR6=2,INDEX(Supuestos!$C$11:$E$11,1,$B$2),IF(AR6=3,INDEX(Supuestos!$C$12:$E$12,1,$B$2),IF(AR6=4,INDEX(Supuestos!$C$13:$E$13,1,$B$2),INDEX(Supuestos!$C$14:$E$14,1,$B$2))))+(IF(AR6=2,INDEX(Supuestos!$C$12:$E$12,1,$B$2),IF(AR6=3,INDEX(Supuestos!$C$13:$E$13,1,$B$2),IF(AR6=4,INDEX(Supuestos!$C$14:$E$14,1,$B$2),INDEX(Supuestos!$C$15:$E$15,1,$B$2))))-IF(AR6=2,INDEX(Supuestos!$C$11:$E$11,1,$B$2),IF(AR6=3,INDEX(Supuestos!$C$12:$E$12,1,$B$2),IF(AR6=4,INDEX(Supuestos!$C$13:$E$13,1,$B$2),INDEX(Supuestos!$C$14:$E$14,1,$B$2)))))*AR7/12)</f>
        <v>1000</v>
      </c>
      <c r="AS10" s="41" t="n">
        <f aca="false">IF(AS6=1,INDEX(Supuestos!$C$22:$N$22,1,AS7)*INDEX(Supuestos!$C$11:$E$11,1,$B$2),IF(AS6=2,INDEX(Supuestos!$C$11:$E$11,1,$B$2),IF(AS6=3,INDEX(Supuestos!$C$12:$E$12,1,$B$2),IF(AS6=4,INDEX(Supuestos!$C$13:$E$13,1,$B$2),INDEX(Supuestos!$C$14:$E$14,1,$B$2))))+(IF(AS6=2,INDEX(Supuestos!$C$12:$E$12,1,$B$2),IF(AS6=3,INDEX(Supuestos!$C$13:$E$13,1,$B$2),IF(AS6=4,INDEX(Supuestos!$C$14:$E$14,1,$B$2),INDEX(Supuestos!$C$15:$E$15,1,$B$2))))-IF(AS6=2,INDEX(Supuestos!$C$11:$E$11,1,$B$2),IF(AS6=3,INDEX(Supuestos!$C$12:$E$12,1,$B$2),IF(AS6=4,INDEX(Supuestos!$C$13:$E$13,1,$B$2),INDEX(Supuestos!$C$14:$E$14,1,$B$2)))))*AS7/12)</f>
        <v>1033.33333333333</v>
      </c>
      <c r="AT10" s="41" t="n">
        <f aca="false">IF(AT6=1,INDEX(Supuestos!$C$22:$N$22,1,AT7)*INDEX(Supuestos!$C$11:$E$11,1,$B$2),IF(AT6=2,INDEX(Supuestos!$C$11:$E$11,1,$B$2),IF(AT6=3,INDEX(Supuestos!$C$12:$E$12,1,$B$2),IF(AT6=4,INDEX(Supuestos!$C$13:$E$13,1,$B$2),INDEX(Supuestos!$C$14:$E$14,1,$B$2))))+(IF(AT6=2,INDEX(Supuestos!$C$12:$E$12,1,$B$2),IF(AT6=3,INDEX(Supuestos!$C$13:$E$13,1,$B$2),IF(AT6=4,INDEX(Supuestos!$C$14:$E$14,1,$B$2),INDEX(Supuestos!$C$15:$E$15,1,$B$2))))-IF(AT6=2,INDEX(Supuestos!$C$11:$E$11,1,$B$2),IF(AT6=3,INDEX(Supuestos!$C$12:$E$12,1,$B$2),IF(AT6=4,INDEX(Supuestos!$C$13:$E$13,1,$B$2),INDEX(Supuestos!$C$14:$E$14,1,$B$2)))))*AT7/12)</f>
        <v>1066.66666666667</v>
      </c>
      <c r="AU10" s="41" t="n">
        <f aca="false">IF(AU6=1,INDEX(Supuestos!$C$22:$N$22,1,AU7)*INDEX(Supuestos!$C$11:$E$11,1,$B$2),IF(AU6=2,INDEX(Supuestos!$C$11:$E$11,1,$B$2),IF(AU6=3,INDEX(Supuestos!$C$12:$E$12,1,$B$2),IF(AU6=4,INDEX(Supuestos!$C$13:$E$13,1,$B$2),INDEX(Supuestos!$C$14:$E$14,1,$B$2))))+(IF(AU6=2,INDEX(Supuestos!$C$12:$E$12,1,$B$2),IF(AU6=3,INDEX(Supuestos!$C$13:$E$13,1,$B$2),IF(AU6=4,INDEX(Supuestos!$C$14:$E$14,1,$B$2),INDEX(Supuestos!$C$15:$E$15,1,$B$2))))-IF(AU6=2,INDEX(Supuestos!$C$11:$E$11,1,$B$2),IF(AU6=3,INDEX(Supuestos!$C$12:$E$12,1,$B$2),IF(AU6=4,INDEX(Supuestos!$C$13:$E$13,1,$B$2),INDEX(Supuestos!$C$14:$E$14,1,$B$2)))))*AU7/12)</f>
        <v>1100</v>
      </c>
      <c r="AV10" s="41" t="n">
        <f aca="false">IF(AV6=1,INDEX(Supuestos!$C$22:$N$22,1,AV7)*INDEX(Supuestos!$C$11:$E$11,1,$B$2),IF(AV6=2,INDEX(Supuestos!$C$11:$E$11,1,$B$2),IF(AV6=3,INDEX(Supuestos!$C$12:$E$12,1,$B$2),IF(AV6=4,INDEX(Supuestos!$C$13:$E$13,1,$B$2),INDEX(Supuestos!$C$14:$E$14,1,$B$2))))+(IF(AV6=2,INDEX(Supuestos!$C$12:$E$12,1,$B$2),IF(AV6=3,INDEX(Supuestos!$C$13:$E$13,1,$B$2),IF(AV6=4,INDEX(Supuestos!$C$14:$E$14,1,$B$2),INDEX(Supuestos!$C$15:$E$15,1,$B$2))))-IF(AV6=2,INDEX(Supuestos!$C$11:$E$11,1,$B$2),IF(AV6=3,INDEX(Supuestos!$C$12:$E$12,1,$B$2),IF(AV6=4,INDEX(Supuestos!$C$13:$E$13,1,$B$2),INDEX(Supuestos!$C$14:$E$14,1,$B$2)))))*AV7/12)</f>
        <v>1133.33333333333</v>
      </c>
      <c r="AW10" s="41" t="n">
        <f aca="false">IF(AW6=1,INDEX(Supuestos!$C$22:$N$22,1,AW7)*INDEX(Supuestos!$C$11:$E$11,1,$B$2),IF(AW6=2,INDEX(Supuestos!$C$11:$E$11,1,$B$2),IF(AW6=3,INDEX(Supuestos!$C$12:$E$12,1,$B$2),IF(AW6=4,INDEX(Supuestos!$C$13:$E$13,1,$B$2),INDEX(Supuestos!$C$14:$E$14,1,$B$2))))+(IF(AW6=2,INDEX(Supuestos!$C$12:$E$12,1,$B$2),IF(AW6=3,INDEX(Supuestos!$C$13:$E$13,1,$B$2),IF(AW6=4,INDEX(Supuestos!$C$14:$E$14,1,$B$2),INDEX(Supuestos!$C$15:$E$15,1,$B$2))))-IF(AW6=2,INDEX(Supuestos!$C$11:$E$11,1,$B$2),IF(AW6=3,INDEX(Supuestos!$C$12:$E$12,1,$B$2),IF(AW6=4,INDEX(Supuestos!$C$13:$E$13,1,$B$2),INDEX(Supuestos!$C$14:$E$14,1,$B$2)))))*AW7/12)</f>
        <v>1166.66666666667</v>
      </c>
      <c r="AX10" s="41" t="n">
        <f aca="false">IF(AX6=1,INDEX(Supuestos!$C$22:$N$22,1,AX7)*INDEX(Supuestos!$C$11:$E$11,1,$B$2),IF(AX6=2,INDEX(Supuestos!$C$11:$E$11,1,$B$2),IF(AX6=3,INDEX(Supuestos!$C$12:$E$12,1,$B$2),IF(AX6=4,INDEX(Supuestos!$C$13:$E$13,1,$B$2),INDEX(Supuestos!$C$14:$E$14,1,$B$2))))+(IF(AX6=2,INDEX(Supuestos!$C$12:$E$12,1,$B$2),IF(AX6=3,INDEX(Supuestos!$C$13:$E$13,1,$B$2),IF(AX6=4,INDEX(Supuestos!$C$14:$E$14,1,$B$2),INDEX(Supuestos!$C$15:$E$15,1,$B$2))))-IF(AX6=2,INDEX(Supuestos!$C$11:$E$11,1,$B$2),IF(AX6=3,INDEX(Supuestos!$C$12:$E$12,1,$B$2),IF(AX6=4,INDEX(Supuestos!$C$13:$E$13,1,$B$2),INDEX(Supuestos!$C$14:$E$14,1,$B$2)))))*AX7/12)</f>
        <v>1200</v>
      </c>
      <c r="AY10" s="41" t="n">
        <f aca="false">IF(AY6=1,INDEX(Supuestos!$C$22:$N$22,1,AY7)*INDEX(Supuestos!$C$11:$E$11,1,$B$2),IF(AY6=2,INDEX(Supuestos!$C$11:$E$11,1,$B$2),IF(AY6=3,INDEX(Supuestos!$C$12:$E$12,1,$B$2),IF(AY6=4,INDEX(Supuestos!$C$13:$E$13,1,$B$2),INDEX(Supuestos!$C$14:$E$14,1,$B$2))))+(IF(AY6=2,INDEX(Supuestos!$C$12:$E$12,1,$B$2),IF(AY6=3,INDEX(Supuestos!$C$13:$E$13,1,$B$2),IF(AY6=4,INDEX(Supuestos!$C$14:$E$14,1,$B$2),INDEX(Supuestos!$C$15:$E$15,1,$B$2))))-IF(AY6=2,INDEX(Supuestos!$C$11:$E$11,1,$B$2),IF(AY6=3,INDEX(Supuestos!$C$12:$E$12,1,$B$2),IF(AY6=4,INDEX(Supuestos!$C$13:$E$13,1,$B$2),INDEX(Supuestos!$C$14:$E$14,1,$B$2)))))*AY7/12)</f>
        <v>1233.33333333333</v>
      </c>
      <c r="AZ10" s="41" t="n">
        <f aca="false">IF(AZ6=1,INDEX(Supuestos!$C$22:$N$22,1,AZ7)*INDEX(Supuestos!$C$11:$E$11,1,$B$2),IF(AZ6=2,INDEX(Supuestos!$C$11:$E$11,1,$B$2),IF(AZ6=3,INDEX(Supuestos!$C$12:$E$12,1,$B$2),IF(AZ6=4,INDEX(Supuestos!$C$13:$E$13,1,$B$2),INDEX(Supuestos!$C$14:$E$14,1,$B$2))))+(IF(AZ6=2,INDEX(Supuestos!$C$12:$E$12,1,$B$2),IF(AZ6=3,INDEX(Supuestos!$C$13:$E$13,1,$B$2),IF(AZ6=4,INDEX(Supuestos!$C$14:$E$14,1,$B$2),INDEX(Supuestos!$C$15:$E$15,1,$B$2))))-IF(AZ6=2,INDEX(Supuestos!$C$11:$E$11,1,$B$2),IF(AZ6=3,INDEX(Supuestos!$C$12:$E$12,1,$B$2),IF(AZ6=4,INDEX(Supuestos!$C$13:$E$13,1,$B$2),INDEX(Supuestos!$C$14:$E$14,1,$B$2)))))*AZ7/12)</f>
        <v>1266.66666666667</v>
      </c>
      <c r="BA10" s="41" t="n">
        <f aca="false">IF(BA6=1,INDEX(Supuestos!$C$22:$N$22,1,BA7)*INDEX(Supuestos!$C$11:$E$11,1,$B$2),IF(BA6=2,INDEX(Supuestos!$C$11:$E$11,1,$B$2),IF(BA6=3,INDEX(Supuestos!$C$12:$E$12,1,$B$2),IF(BA6=4,INDEX(Supuestos!$C$13:$E$13,1,$B$2),INDEX(Supuestos!$C$14:$E$14,1,$B$2))))+(IF(BA6=2,INDEX(Supuestos!$C$12:$E$12,1,$B$2),IF(BA6=3,INDEX(Supuestos!$C$13:$E$13,1,$B$2),IF(BA6=4,INDEX(Supuestos!$C$14:$E$14,1,$B$2),INDEX(Supuestos!$C$15:$E$15,1,$B$2))))-IF(BA6=2,INDEX(Supuestos!$C$11:$E$11,1,$B$2),IF(BA6=3,INDEX(Supuestos!$C$12:$E$12,1,$B$2),IF(BA6=4,INDEX(Supuestos!$C$13:$E$13,1,$B$2),INDEX(Supuestos!$C$14:$E$14,1,$B$2)))))*BA7/12)</f>
        <v>1300</v>
      </c>
      <c r="BB10" s="41" t="n">
        <f aca="false">IF(BB6=1,INDEX(Supuestos!$C$22:$N$22,1,BB7)*INDEX(Supuestos!$C$11:$E$11,1,$B$2),IF(BB6=2,INDEX(Supuestos!$C$11:$E$11,1,$B$2),IF(BB6=3,INDEX(Supuestos!$C$12:$E$12,1,$B$2),IF(BB6=4,INDEX(Supuestos!$C$13:$E$13,1,$B$2),INDEX(Supuestos!$C$14:$E$14,1,$B$2))))+(IF(BB6=2,INDEX(Supuestos!$C$12:$E$12,1,$B$2),IF(BB6=3,INDEX(Supuestos!$C$13:$E$13,1,$B$2),IF(BB6=4,INDEX(Supuestos!$C$14:$E$14,1,$B$2),INDEX(Supuestos!$C$15:$E$15,1,$B$2))))-IF(BB6=2,INDEX(Supuestos!$C$11:$E$11,1,$B$2),IF(BB6=3,INDEX(Supuestos!$C$12:$E$12,1,$B$2),IF(BB6=4,INDEX(Supuestos!$C$13:$E$13,1,$B$2),INDEX(Supuestos!$C$14:$E$14,1,$B$2)))))*BB7/12)</f>
        <v>1333.33333333333</v>
      </c>
      <c r="BC10" s="41" t="n">
        <f aca="false">IF(BC6=1,INDEX(Supuestos!$C$22:$N$22,1,BC7)*INDEX(Supuestos!$C$11:$E$11,1,$B$2),IF(BC6=2,INDEX(Supuestos!$C$11:$E$11,1,$B$2),IF(BC6=3,INDEX(Supuestos!$C$12:$E$12,1,$B$2),IF(BC6=4,INDEX(Supuestos!$C$13:$E$13,1,$B$2),INDEX(Supuestos!$C$14:$E$14,1,$B$2))))+(IF(BC6=2,INDEX(Supuestos!$C$12:$E$12,1,$B$2),IF(BC6=3,INDEX(Supuestos!$C$13:$E$13,1,$B$2),IF(BC6=4,INDEX(Supuestos!$C$14:$E$14,1,$B$2),INDEX(Supuestos!$C$15:$E$15,1,$B$2))))-IF(BC6=2,INDEX(Supuestos!$C$11:$E$11,1,$B$2),IF(BC6=3,INDEX(Supuestos!$C$12:$E$12,1,$B$2),IF(BC6=4,INDEX(Supuestos!$C$13:$E$13,1,$B$2),INDEX(Supuestos!$C$14:$E$14,1,$B$2)))))*BC7/12)</f>
        <v>1366.66666666667</v>
      </c>
      <c r="BD10" s="41" t="n">
        <f aca="false">IF(BD6=1,INDEX(Supuestos!$C$22:$N$22,1,BD7)*INDEX(Supuestos!$C$11:$E$11,1,$B$2),IF(BD6=2,INDEX(Supuestos!$C$11:$E$11,1,$B$2),IF(BD6=3,INDEX(Supuestos!$C$12:$E$12,1,$B$2),IF(BD6=4,INDEX(Supuestos!$C$13:$E$13,1,$B$2),INDEX(Supuestos!$C$14:$E$14,1,$B$2))))+(IF(BD6=2,INDEX(Supuestos!$C$12:$E$12,1,$B$2),IF(BD6=3,INDEX(Supuestos!$C$13:$E$13,1,$B$2),IF(BD6=4,INDEX(Supuestos!$C$14:$E$14,1,$B$2),INDEX(Supuestos!$C$15:$E$15,1,$B$2))))-IF(BD6=2,INDEX(Supuestos!$C$11:$E$11,1,$B$2),IF(BD6=3,INDEX(Supuestos!$C$12:$E$12,1,$B$2),IF(BD6=4,INDEX(Supuestos!$C$13:$E$13,1,$B$2),INDEX(Supuestos!$C$14:$E$14,1,$B$2)))))*BD7/12)</f>
        <v>1400</v>
      </c>
      <c r="BE10" s="41" t="n">
        <f aca="false">IF(BE6=1,INDEX(Supuestos!$C$22:$N$22,1,BE7)*INDEX(Supuestos!$C$11:$E$11,1,$B$2),IF(BE6=2,INDEX(Supuestos!$C$11:$E$11,1,$B$2),IF(BE6=3,INDEX(Supuestos!$C$12:$E$12,1,$B$2),IF(BE6=4,INDEX(Supuestos!$C$13:$E$13,1,$B$2),INDEX(Supuestos!$C$14:$E$14,1,$B$2))))+(IF(BE6=2,INDEX(Supuestos!$C$12:$E$12,1,$B$2),IF(BE6=3,INDEX(Supuestos!$C$13:$E$13,1,$B$2),IF(BE6=4,INDEX(Supuestos!$C$14:$E$14,1,$B$2),INDEX(Supuestos!$C$15:$E$15,1,$B$2))))-IF(BE6=2,INDEX(Supuestos!$C$11:$E$11,1,$B$2),IF(BE6=3,INDEX(Supuestos!$C$12:$E$12,1,$B$2),IF(BE6=4,INDEX(Supuestos!$C$13:$E$13,1,$B$2),INDEX(Supuestos!$C$14:$E$14,1,$B$2)))))*BE7/12)</f>
        <v>1433.33333333333</v>
      </c>
      <c r="BF10" s="41" t="n">
        <f aca="false">IF(BF6=1,INDEX(Supuestos!$C$22:$N$22,1,BF7)*INDEX(Supuestos!$C$11:$E$11,1,$B$2),IF(BF6=2,INDEX(Supuestos!$C$11:$E$11,1,$B$2),IF(BF6=3,INDEX(Supuestos!$C$12:$E$12,1,$B$2),IF(BF6=4,INDEX(Supuestos!$C$13:$E$13,1,$B$2),INDEX(Supuestos!$C$14:$E$14,1,$B$2))))+(IF(BF6=2,INDEX(Supuestos!$C$12:$E$12,1,$B$2),IF(BF6=3,INDEX(Supuestos!$C$13:$E$13,1,$B$2),IF(BF6=4,INDEX(Supuestos!$C$14:$E$14,1,$B$2),INDEX(Supuestos!$C$15:$E$15,1,$B$2))))-IF(BF6=2,INDEX(Supuestos!$C$11:$E$11,1,$B$2),IF(BF6=3,INDEX(Supuestos!$C$12:$E$12,1,$B$2),IF(BF6=4,INDEX(Supuestos!$C$13:$E$13,1,$B$2),INDEX(Supuestos!$C$14:$E$14,1,$B$2)))))*BF7/12)</f>
        <v>1466.66666666667</v>
      </c>
      <c r="BG10" s="41" t="n">
        <f aca="false">IF(BG6=1,INDEX(Supuestos!$C$22:$N$22,1,BG7)*INDEX(Supuestos!$C$11:$E$11,1,$B$2),IF(BG6=2,INDEX(Supuestos!$C$11:$E$11,1,$B$2),IF(BG6=3,INDEX(Supuestos!$C$12:$E$12,1,$B$2),IF(BG6=4,INDEX(Supuestos!$C$13:$E$13,1,$B$2),INDEX(Supuestos!$C$14:$E$14,1,$B$2))))+(IF(BG6=2,INDEX(Supuestos!$C$12:$E$12,1,$B$2),IF(BG6=3,INDEX(Supuestos!$C$13:$E$13,1,$B$2),IF(BG6=4,INDEX(Supuestos!$C$14:$E$14,1,$B$2),INDEX(Supuestos!$C$15:$E$15,1,$B$2))))-IF(BG6=2,INDEX(Supuestos!$C$11:$E$11,1,$B$2),IF(BG6=3,INDEX(Supuestos!$C$12:$E$12,1,$B$2),IF(BG6=4,INDEX(Supuestos!$C$13:$E$13,1,$B$2),INDEX(Supuestos!$C$14:$E$14,1,$B$2)))))*BG7/12)</f>
        <v>1500</v>
      </c>
      <c r="BH10" s="41" t="n">
        <f aca="false">IF(BH6=1,INDEX(Supuestos!$C$22:$N$22,1,BH7)*INDEX(Supuestos!$C$11:$E$11,1,$B$2),IF(BH6=2,INDEX(Supuestos!$C$11:$E$11,1,$B$2),IF(BH6=3,INDEX(Supuestos!$C$12:$E$12,1,$B$2),IF(BH6=4,INDEX(Supuestos!$C$13:$E$13,1,$B$2),INDEX(Supuestos!$C$14:$E$14,1,$B$2))))+(IF(BH6=2,INDEX(Supuestos!$C$12:$E$12,1,$B$2),IF(BH6=3,INDEX(Supuestos!$C$13:$E$13,1,$B$2),IF(BH6=4,INDEX(Supuestos!$C$14:$E$14,1,$B$2),INDEX(Supuestos!$C$15:$E$15,1,$B$2))))-IF(BH6=2,INDEX(Supuestos!$C$11:$E$11,1,$B$2),IF(BH6=3,INDEX(Supuestos!$C$12:$E$12,1,$B$2),IF(BH6=4,INDEX(Supuestos!$C$13:$E$13,1,$B$2),INDEX(Supuestos!$C$14:$E$14,1,$B$2)))))*BH7/12)</f>
        <v>1533.33333333333</v>
      </c>
      <c r="BI10" s="41" t="n">
        <f aca="false">IF(BI6=1,INDEX(Supuestos!$C$22:$N$22,1,BI7)*INDEX(Supuestos!$C$11:$E$11,1,$B$2),IF(BI6=2,INDEX(Supuestos!$C$11:$E$11,1,$B$2),IF(BI6=3,INDEX(Supuestos!$C$12:$E$12,1,$B$2),IF(BI6=4,INDEX(Supuestos!$C$13:$E$13,1,$B$2),INDEX(Supuestos!$C$14:$E$14,1,$B$2))))+(IF(BI6=2,INDEX(Supuestos!$C$12:$E$12,1,$B$2),IF(BI6=3,INDEX(Supuestos!$C$13:$E$13,1,$B$2),IF(BI6=4,INDEX(Supuestos!$C$14:$E$14,1,$B$2),INDEX(Supuestos!$C$15:$E$15,1,$B$2))))-IF(BI6=2,INDEX(Supuestos!$C$11:$E$11,1,$B$2),IF(BI6=3,INDEX(Supuestos!$C$12:$E$12,1,$B$2),IF(BI6=4,INDEX(Supuestos!$C$13:$E$13,1,$B$2),INDEX(Supuestos!$C$14:$E$14,1,$B$2)))))*BI7/12)</f>
        <v>1566.66666666667</v>
      </c>
      <c r="BJ10" s="41" t="n">
        <f aca="false">IF(BJ6=1,INDEX(Supuestos!$C$22:$N$22,1,BJ7)*INDEX(Supuestos!$C$11:$E$11,1,$B$2),IF(BJ6=2,INDEX(Supuestos!$C$11:$E$11,1,$B$2),IF(BJ6=3,INDEX(Supuestos!$C$12:$E$12,1,$B$2),IF(BJ6=4,INDEX(Supuestos!$C$13:$E$13,1,$B$2),INDEX(Supuestos!$C$14:$E$14,1,$B$2))))+(IF(BJ6=2,INDEX(Supuestos!$C$12:$E$12,1,$B$2),IF(BJ6=3,INDEX(Supuestos!$C$13:$E$13,1,$B$2),IF(BJ6=4,INDEX(Supuestos!$C$14:$E$14,1,$B$2),INDEX(Supuestos!$C$15:$E$15,1,$B$2))))-IF(BJ6=2,INDEX(Supuestos!$C$11:$E$11,1,$B$2),IF(BJ6=3,INDEX(Supuestos!$C$12:$E$12,1,$B$2),IF(BJ6=4,INDEX(Supuestos!$C$13:$E$13,1,$B$2),INDEX(Supuestos!$C$14:$E$14,1,$B$2)))))*BJ7/12)</f>
        <v>1600</v>
      </c>
    </row>
    <row r="11" customFormat="false" ht="15" hidden="false" customHeight="true" outlineLevel="0" collapsed="false">
      <c r="A11" s="10" t="s">
        <v>243</v>
      </c>
      <c r="B11" s="7" t="s">
        <v>73</v>
      </c>
      <c r="C11" s="41" t="n">
        <v>0</v>
      </c>
      <c r="D11" s="41" t="n">
        <f aca="false">C14</f>
        <v>12.495</v>
      </c>
      <c r="E11" s="41" t="n">
        <f aca="false">D14</f>
        <v>18.75</v>
      </c>
      <c r="F11" s="41" t="n">
        <f aca="false">E14</f>
        <v>31.245</v>
      </c>
      <c r="G11" s="41" t="n">
        <f aca="false">F14</f>
        <v>43.755</v>
      </c>
      <c r="H11" s="41" t="n">
        <f aca="false">G14</f>
        <v>56.25</v>
      </c>
      <c r="I11" s="41" t="n">
        <f aca="false">H14</f>
        <v>68.745</v>
      </c>
      <c r="J11" s="41" t="n">
        <f aca="false">I14</f>
        <v>81.255</v>
      </c>
      <c r="K11" s="41" t="n">
        <f aca="false">J14</f>
        <v>100.005</v>
      </c>
      <c r="L11" s="41" t="n">
        <f aca="false">K14</f>
        <v>112.5</v>
      </c>
      <c r="M11" s="41" t="n">
        <f aca="false">L14</f>
        <v>124.995</v>
      </c>
      <c r="N11" s="41" t="n">
        <f aca="false">M14</f>
        <v>137.505</v>
      </c>
      <c r="O11" s="41" t="n">
        <f aca="false">N14</f>
        <v>150</v>
      </c>
      <c r="P11" s="41" t="n">
        <f aca="false">O14</f>
        <v>170.833333333333</v>
      </c>
      <c r="Q11" s="41" t="n">
        <f aca="false">P14</f>
        <v>191.666666666667</v>
      </c>
      <c r="R11" s="41" t="n">
        <f aca="false">Q14</f>
        <v>212.5</v>
      </c>
      <c r="S11" s="41" t="n">
        <f aca="false">R14</f>
        <v>233.333333333333</v>
      </c>
      <c r="T11" s="41" t="n">
        <f aca="false">S14</f>
        <v>254.166666666667</v>
      </c>
      <c r="U11" s="41" t="n">
        <f aca="false">T14</f>
        <v>275</v>
      </c>
      <c r="V11" s="41" t="n">
        <f aca="false">U14</f>
        <v>295.833333333333</v>
      </c>
      <c r="W11" s="41" t="n">
        <f aca="false">V14</f>
        <v>316.666666666667</v>
      </c>
      <c r="X11" s="41" t="n">
        <f aca="false">W14</f>
        <v>337.5</v>
      </c>
      <c r="Y11" s="41" t="n">
        <f aca="false">X14</f>
        <v>358.333333333333</v>
      </c>
      <c r="Z11" s="41" t="n">
        <f aca="false">Y14</f>
        <v>379.166666666667</v>
      </c>
      <c r="AA11" s="41" t="n">
        <f aca="false">Z14</f>
        <v>400</v>
      </c>
      <c r="AB11" s="41" t="n">
        <f aca="false">AA14</f>
        <v>433.333333333333</v>
      </c>
      <c r="AC11" s="41" t="n">
        <f aca="false">AB14</f>
        <v>466.666666666667</v>
      </c>
      <c r="AD11" s="41" t="n">
        <f aca="false">AC14</f>
        <v>500</v>
      </c>
      <c r="AE11" s="41" t="n">
        <f aca="false">AD14</f>
        <v>533.333333333333</v>
      </c>
      <c r="AF11" s="41" t="n">
        <f aca="false">AE14</f>
        <v>566.666666666667</v>
      </c>
      <c r="AG11" s="41" t="n">
        <f aca="false">AF14</f>
        <v>600</v>
      </c>
      <c r="AH11" s="41" t="n">
        <f aca="false">AG14</f>
        <v>633.333333333333</v>
      </c>
      <c r="AI11" s="41" t="n">
        <f aca="false">AH14</f>
        <v>666.666666666667</v>
      </c>
      <c r="AJ11" s="41" t="n">
        <f aca="false">AI14</f>
        <v>700</v>
      </c>
      <c r="AK11" s="41" t="n">
        <f aca="false">AJ14</f>
        <v>733.333333333333</v>
      </c>
      <c r="AL11" s="41" t="n">
        <f aca="false">AK14</f>
        <v>766.666666666667</v>
      </c>
      <c r="AM11" s="41" t="n">
        <f aca="false">AL14</f>
        <v>800</v>
      </c>
      <c r="AN11" s="41" t="n">
        <f aca="false">AM14</f>
        <v>833.333333333333</v>
      </c>
      <c r="AO11" s="41" t="n">
        <f aca="false">AN14</f>
        <v>866.666666666667</v>
      </c>
      <c r="AP11" s="41" t="n">
        <f aca="false">AO14</f>
        <v>900</v>
      </c>
      <c r="AQ11" s="41" t="n">
        <f aca="false">AP14</f>
        <v>933.333333333333</v>
      </c>
      <c r="AR11" s="41" t="n">
        <f aca="false">AQ14</f>
        <v>966.666666666667</v>
      </c>
      <c r="AS11" s="41" t="n">
        <f aca="false">AR14</f>
        <v>1000</v>
      </c>
      <c r="AT11" s="41" t="n">
        <f aca="false">AS14</f>
        <v>1033.33333333333</v>
      </c>
      <c r="AU11" s="41" t="n">
        <f aca="false">AT14</f>
        <v>1066.66666666667</v>
      </c>
      <c r="AV11" s="41" t="n">
        <f aca="false">AU14</f>
        <v>1100</v>
      </c>
      <c r="AW11" s="41" t="n">
        <f aca="false">AV14</f>
        <v>1133.33333333333</v>
      </c>
      <c r="AX11" s="41" t="n">
        <f aca="false">AW14</f>
        <v>1166.66666666667</v>
      </c>
      <c r="AY11" s="41" t="n">
        <f aca="false">AX14</f>
        <v>1200</v>
      </c>
      <c r="AZ11" s="41" t="n">
        <f aca="false">AY14</f>
        <v>1233.33333333333</v>
      </c>
      <c r="BA11" s="41" t="n">
        <f aca="false">AZ14</f>
        <v>1266.66666666667</v>
      </c>
      <c r="BB11" s="41" t="n">
        <f aca="false">BA14</f>
        <v>1300</v>
      </c>
      <c r="BC11" s="41" t="n">
        <f aca="false">BB14</f>
        <v>1333.33333333333</v>
      </c>
      <c r="BD11" s="41" t="n">
        <f aca="false">BC14</f>
        <v>1366.66666666667</v>
      </c>
      <c r="BE11" s="41" t="n">
        <f aca="false">BD14</f>
        <v>1400</v>
      </c>
      <c r="BF11" s="41" t="n">
        <f aca="false">BE14</f>
        <v>1433.33333333333</v>
      </c>
      <c r="BG11" s="41" t="n">
        <f aca="false">BF14</f>
        <v>1466.66666666667</v>
      </c>
      <c r="BH11" s="41" t="n">
        <f aca="false">BG14</f>
        <v>1500</v>
      </c>
      <c r="BI11" s="41" t="n">
        <f aca="false">BH14</f>
        <v>1533.33333333333</v>
      </c>
      <c r="BJ11" s="41" t="n">
        <f aca="false">BI14</f>
        <v>1566.66666666667</v>
      </c>
    </row>
    <row r="12" customFormat="false" ht="15" hidden="false" customHeight="true" outlineLevel="0" collapsed="false">
      <c r="A12" s="10" t="s">
        <v>244</v>
      </c>
      <c r="B12" s="7" t="s">
        <v>73</v>
      </c>
      <c r="C12" s="41" t="n">
        <f aca="false">C11*INDEX(Supuestos!$C$16:$E$16,1,$B$2)</f>
        <v>0</v>
      </c>
      <c r="D12" s="41" t="n">
        <f aca="false">D11*INDEX(Supuestos!$C$16:$E$16,1,$B$2)</f>
        <v>0.2499</v>
      </c>
      <c r="E12" s="41" t="n">
        <f aca="false">E11*INDEX(Supuestos!$C$16:$E$16,1,$B$2)</f>
        <v>0.375</v>
      </c>
      <c r="F12" s="41" t="n">
        <f aca="false">F11*INDEX(Supuestos!$C$16:$E$16,1,$B$2)</f>
        <v>0.6249</v>
      </c>
      <c r="G12" s="41" t="n">
        <f aca="false">G11*INDEX(Supuestos!$C$16:$E$16,1,$B$2)</f>
        <v>0.8751</v>
      </c>
      <c r="H12" s="41" t="n">
        <f aca="false">H11*INDEX(Supuestos!$C$16:$E$16,1,$B$2)</f>
        <v>1.125</v>
      </c>
      <c r="I12" s="41" t="n">
        <f aca="false">I11*INDEX(Supuestos!$C$16:$E$16,1,$B$2)</f>
        <v>1.3749</v>
      </c>
      <c r="J12" s="41" t="n">
        <f aca="false">J11*INDEX(Supuestos!$C$16:$E$16,1,$B$2)</f>
        <v>1.6251</v>
      </c>
      <c r="K12" s="41" t="n">
        <f aca="false">K11*INDEX(Supuestos!$C$16:$E$16,1,$B$2)</f>
        <v>2.0001</v>
      </c>
      <c r="L12" s="41" t="n">
        <f aca="false">L11*INDEX(Supuestos!$C$16:$E$16,1,$B$2)</f>
        <v>2.25</v>
      </c>
      <c r="M12" s="41" t="n">
        <f aca="false">M11*INDEX(Supuestos!$C$16:$E$16,1,$B$2)</f>
        <v>2.4999</v>
      </c>
      <c r="N12" s="41" t="n">
        <f aca="false">N11*INDEX(Supuestos!$C$16:$E$16,1,$B$2)</f>
        <v>2.7501</v>
      </c>
      <c r="O12" s="41" t="n">
        <f aca="false">O11*INDEX(Supuestos!$C$16:$E$16,1,$B$2)</f>
        <v>3</v>
      </c>
      <c r="P12" s="41" t="n">
        <f aca="false">P11*INDEX(Supuestos!$C$16:$E$16,1,$B$2)</f>
        <v>3.41666666666667</v>
      </c>
      <c r="Q12" s="41" t="n">
        <f aca="false">Q11*INDEX(Supuestos!$C$16:$E$16,1,$B$2)</f>
        <v>3.83333333333333</v>
      </c>
      <c r="R12" s="41" t="n">
        <f aca="false">R11*INDEX(Supuestos!$C$16:$E$16,1,$B$2)</f>
        <v>4.25</v>
      </c>
      <c r="S12" s="41" t="n">
        <f aca="false">S11*INDEX(Supuestos!$C$16:$E$16,1,$B$2)</f>
        <v>4.66666666666667</v>
      </c>
      <c r="T12" s="41" t="n">
        <f aca="false">T11*INDEX(Supuestos!$C$16:$E$16,1,$B$2)</f>
        <v>5.08333333333333</v>
      </c>
      <c r="U12" s="41" t="n">
        <f aca="false">U11*INDEX(Supuestos!$C$16:$E$16,1,$B$2)</f>
        <v>5.5</v>
      </c>
      <c r="V12" s="41" t="n">
        <f aca="false">V11*INDEX(Supuestos!$C$16:$E$16,1,$B$2)</f>
        <v>5.91666666666667</v>
      </c>
      <c r="W12" s="41" t="n">
        <f aca="false">W11*INDEX(Supuestos!$C$16:$E$16,1,$B$2)</f>
        <v>6.33333333333333</v>
      </c>
      <c r="X12" s="41" t="n">
        <f aca="false">X11*INDEX(Supuestos!$C$16:$E$16,1,$B$2)</f>
        <v>6.75</v>
      </c>
      <c r="Y12" s="41" t="n">
        <f aca="false">Y11*INDEX(Supuestos!$C$16:$E$16,1,$B$2)</f>
        <v>7.16666666666667</v>
      </c>
      <c r="Z12" s="41" t="n">
        <f aca="false">Z11*INDEX(Supuestos!$C$16:$E$16,1,$B$2)</f>
        <v>7.58333333333333</v>
      </c>
      <c r="AA12" s="41" t="n">
        <f aca="false">AA11*INDEX(Supuestos!$C$16:$E$16,1,$B$2)</f>
        <v>8</v>
      </c>
      <c r="AB12" s="41" t="n">
        <f aca="false">AB11*INDEX(Supuestos!$C$16:$E$16,1,$B$2)</f>
        <v>8.66666666666667</v>
      </c>
      <c r="AC12" s="41" t="n">
        <f aca="false">AC11*INDEX(Supuestos!$C$16:$E$16,1,$B$2)</f>
        <v>9.33333333333333</v>
      </c>
      <c r="AD12" s="41" t="n">
        <f aca="false">AD11*INDEX(Supuestos!$C$16:$E$16,1,$B$2)</f>
        <v>10</v>
      </c>
      <c r="AE12" s="41" t="n">
        <f aca="false">AE11*INDEX(Supuestos!$C$16:$E$16,1,$B$2)</f>
        <v>10.6666666666667</v>
      </c>
      <c r="AF12" s="41" t="n">
        <f aca="false">AF11*INDEX(Supuestos!$C$16:$E$16,1,$B$2)</f>
        <v>11.3333333333333</v>
      </c>
      <c r="AG12" s="41" t="n">
        <f aca="false">AG11*INDEX(Supuestos!$C$16:$E$16,1,$B$2)</f>
        <v>12</v>
      </c>
      <c r="AH12" s="41" t="n">
        <f aca="false">AH11*INDEX(Supuestos!$C$16:$E$16,1,$B$2)</f>
        <v>12.6666666666667</v>
      </c>
      <c r="AI12" s="41" t="n">
        <f aca="false">AI11*INDEX(Supuestos!$C$16:$E$16,1,$B$2)</f>
        <v>13.3333333333333</v>
      </c>
      <c r="AJ12" s="41" t="n">
        <f aca="false">AJ11*INDEX(Supuestos!$C$16:$E$16,1,$B$2)</f>
        <v>14</v>
      </c>
      <c r="AK12" s="41" t="n">
        <f aca="false">AK11*INDEX(Supuestos!$C$16:$E$16,1,$B$2)</f>
        <v>14.6666666666667</v>
      </c>
      <c r="AL12" s="41" t="n">
        <f aca="false">AL11*INDEX(Supuestos!$C$16:$E$16,1,$B$2)</f>
        <v>15.3333333333333</v>
      </c>
      <c r="AM12" s="41" t="n">
        <f aca="false">AM11*INDEX(Supuestos!$C$16:$E$16,1,$B$2)</f>
        <v>16</v>
      </c>
      <c r="AN12" s="41" t="n">
        <f aca="false">AN11*INDEX(Supuestos!$C$16:$E$16,1,$B$2)</f>
        <v>16.6666666666667</v>
      </c>
      <c r="AO12" s="41" t="n">
        <f aca="false">AO11*INDEX(Supuestos!$C$16:$E$16,1,$B$2)</f>
        <v>17.3333333333333</v>
      </c>
      <c r="AP12" s="41" t="n">
        <f aca="false">AP11*INDEX(Supuestos!$C$16:$E$16,1,$B$2)</f>
        <v>18</v>
      </c>
      <c r="AQ12" s="41" t="n">
        <f aca="false">AQ11*INDEX(Supuestos!$C$16:$E$16,1,$B$2)</f>
        <v>18.6666666666667</v>
      </c>
      <c r="AR12" s="41" t="n">
        <f aca="false">AR11*INDEX(Supuestos!$C$16:$E$16,1,$B$2)</f>
        <v>19.3333333333333</v>
      </c>
      <c r="AS12" s="41" t="n">
        <f aca="false">AS11*INDEX(Supuestos!$C$16:$E$16,1,$B$2)</f>
        <v>20</v>
      </c>
      <c r="AT12" s="41" t="n">
        <f aca="false">AT11*INDEX(Supuestos!$C$16:$E$16,1,$B$2)</f>
        <v>20.6666666666667</v>
      </c>
      <c r="AU12" s="41" t="n">
        <f aca="false">AU11*INDEX(Supuestos!$C$16:$E$16,1,$B$2)</f>
        <v>21.3333333333333</v>
      </c>
      <c r="AV12" s="41" t="n">
        <f aca="false">AV11*INDEX(Supuestos!$C$16:$E$16,1,$B$2)</f>
        <v>22</v>
      </c>
      <c r="AW12" s="41" t="n">
        <f aca="false">AW11*INDEX(Supuestos!$C$16:$E$16,1,$B$2)</f>
        <v>22.6666666666667</v>
      </c>
      <c r="AX12" s="41" t="n">
        <f aca="false">AX11*INDEX(Supuestos!$C$16:$E$16,1,$B$2)</f>
        <v>23.3333333333333</v>
      </c>
      <c r="AY12" s="41" t="n">
        <f aca="false">AY11*INDEX(Supuestos!$C$16:$E$16,1,$B$2)</f>
        <v>24</v>
      </c>
      <c r="AZ12" s="41" t="n">
        <f aca="false">AZ11*INDEX(Supuestos!$C$16:$E$16,1,$B$2)</f>
        <v>24.6666666666667</v>
      </c>
      <c r="BA12" s="41" t="n">
        <f aca="false">BA11*INDEX(Supuestos!$C$16:$E$16,1,$B$2)</f>
        <v>25.3333333333333</v>
      </c>
      <c r="BB12" s="41" t="n">
        <f aca="false">BB11*INDEX(Supuestos!$C$16:$E$16,1,$B$2)</f>
        <v>26</v>
      </c>
      <c r="BC12" s="41" t="n">
        <f aca="false">BC11*INDEX(Supuestos!$C$16:$E$16,1,$B$2)</f>
        <v>26.6666666666667</v>
      </c>
      <c r="BD12" s="41" t="n">
        <f aca="false">BD11*INDEX(Supuestos!$C$16:$E$16,1,$B$2)</f>
        <v>27.3333333333333</v>
      </c>
      <c r="BE12" s="41" t="n">
        <f aca="false">BE11*INDEX(Supuestos!$C$16:$E$16,1,$B$2)</f>
        <v>28</v>
      </c>
      <c r="BF12" s="41" t="n">
        <f aca="false">BF11*INDEX(Supuestos!$C$16:$E$16,1,$B$2)</f>
        <v>28.6666666666667</v>
      </c>
      <c r="BG12" s="41" t="n">
        <f aca="false">BG11*INDEX(Supuestos!$C$16:$E$16,1,$B$2)</f>
        <v>29.3333333333333</v>
      </c>
      <c r="BH12" s="41" t="n">
        <f aca="false">BH11*INDEX(Supuestos!$C$16:$E$16,1,$B$2)</f>
        <v>30</v>
      </c>
      <c r="BI12" s="41" t="n">
        <f aca="false">BI11*INDEX(Supuestos!$C$16:$E$16,1,$B$2)</f>
        <v>30.6666666666667</v>
      </c>
      <c r="BJ12" s="41" t="n">
        <f aca="false">BJ11*INDEX(Supuestos!$C$16:$E$16,1,$B$2)</f>
        <v>31.3333333333333</v>
      </c>
    </row>
    <row r="13" customFormat="false" ht="15" hidden="false" customHeight="true" outlineLevel="0" collapsed="false">
      <c r="A13" s="10" t="s">
        <v>189</v>
      </c>
      <c r="B13" s="7" t="s">
        <v>73</v>
      </c>
      <c r="C13" s="41" t="n">
        <f aca="false">MAX(0,C10-(C11-C12))</f>
        <v>12.495</v>
      </c>
      <c r="D13" s="41" t="n">
        <f aca="false">MAX(0,D10-(D11-D12))</f>
        <v>6.5049</v>
      </c>
      <c r="E13" s="41" t="n">
        <f aca="false">MAX(0,E10-(E11-E12))</f>
        <v>12.87</v>
      </c>
      <c r="F13" s="41" t="n">
        <f aca="false">MAX(0,F10-(F11-F12))</f>
        <v>13.1349</v>
      </c>
      <c r="G13" s="41" t="n">
        <f aca="false">MAX(0,G10-(G11-G12))</f>
        <v>13.3701</v>
      </c>
      <c r="H13" s="41" t="n">
        <f aca="false">MAX(0,H10-(H11-H12))</f>
        <v>13.62</v>
      </c>
      <c r="I13" s="41" t="n">
        <f aca="false">MAX(0,I10-(I11-I12))</f>
        <v>13.8849</v>
      </c>
      <c r="J13" s="41" t="n">
        <f aca="false">MAX(0,J10-(J11-J12))</f>
        <v>20.3751</v>
      </c>
      <c r="K13" s="41" t="n">
        <f aca="false">MAX(0,K10-(K11-K12))</f>
        <v>14.4951</v>
      </c>
      <c r="L13" s="41" t="n">
        <f aca="false">MAX(0,L10-(L11-L12))</f>
        <v>14.745</v>
      </c>
      <c r="M13" s="41" t="n">
        <f aca="false">MAX(0,M10-(M11-M12))</f>
        <v>15.0099</v>
      </c>
      <c r="N13" s="41" t="n">
        <f aca="false">MAX(0,N10-(N11-N12))</f>
        <v>15.2451</v>
      </c>
      <c r="O13" s="41" t="n">
        <f aca="false">MAX(0,O10-(O11-O12))</f>
        <v>23.8333333333333</v>
      </c>
      <c r="P13" s="41" t="n">
        <f aca="false">MAX(0,P10-(P11-P12))</f>
        <v>24.25</v>
      </c>
      <c r="Q13" s="41" t="n">
        <f aca="false">MAX(0,Q10-(Q11-Q12))</f>
        <v>24.6666666666667</v>
      </c>
      <c r="R13" s="41" t="n">
        <f aca="false">MAX(0,R10-(R11-R12))</f>
        <v>25.0833333333333</v>
      </c>
      <c r="S13" s="41" t="n">
        <f aca="false">MAX(0,S10-(S11-S12))</f>
        <v>25.5</v>
      </c>
      <c r="T13" s="41" t="n">
        <f aca="false">MAX(0,T10-(T11-T12))</f>
        <v>25.9166666666667</v>
      </c>
      <c r="U13" s="41" t="n">
        <f aca="false">MAX(0,U10-(U11-U12))</f>
        <v>26.3333333333334</v>
      </c>
      <c r="V13" s="41" t="n">
        <f aca="false">MAX(0,V10-(V11-V12))</f>
        <v>26.7499999999999</v>
      </c>
      <c r="W13" s="41" t="n">
        <f aca="false">MAX(0,W10-(W11-W12))</f>
        <v>27.1666666666667</v>
      </c>
      <c r="X13" s="41" t="n">
        <f aca="false">MAX(0,X10-(X11-X12))</f>
        <v>27.5833333333334</v>
      </c>
      <c r="Y13" s="41" t="n">
        <f aca="false">MAX(0,Y10-(Y11-Y12))</f>
        <v>27.9999999999999</v>
      </c>
      <c r="Z13" s="41" t="n">
        <f aca="false">MAX(0,Z10-(Z11-Z12))</f>
        <v>28.4166666666667</v>
      </c>
      <c r="AA13" s="41" t="n">
        <f aca="false">MAX(0,AA10-(AA11-AA12))</f>
        <v>41.3333333333333</v>
      </c>
      <c r="AB13" s="41" t="n">
        <f aca="false">MAX(0,AB10-(AB11-AB12))</f>
        <v>42.0000000000001</v>
      </c>
      <c r="AC13" s="41" t="n">
        <f aca="false">MAX(0,AC10-(AC11-AC12))</f>
        <v>42.6666666666666</v>
      </c>
      <c r="AD13" s="41" t="n">
        <f aca="false">MAX(0,AD10-(AD11-AD12))</f>
        <v>43.3333333333334</v>
      </c>
      <c r="AE13" s="41" t="n">
        <f aca="false">MAX(0,AE10-(AE11-AE12))</f>
        <v>43.9999999999999</v>
      </c>
      <c r="AF13" s="41" t="n">
        <f aca="false">MAX(0,AF10-(AF11-AF12))</f>
        <v>44.6666666666667</v>
      </c>
      <c r="AG13" s="41" t="n">
        <f aca="false">MAX(0,AG10-(AG11-AG12))</f>
        <v>45.3333333333334</v>
      </c>
      <c r="AH13" s="41" t="n">
        <f aca="false">MAX(0,AH10-(AH11-AH12))</f>
        <v>46</v>
      </c>
      <c r="AI13" s="41" t="n">
        <f aca="false">MAX(0,AI10-(AI11-AI12))</f>
        <v>46.6666666666666</v>
      </c>
      <c r="AJ13" s="41" t="n">
        <f aca="false">MAX(0,AJ10-(AJ11-AJ12))</f>
        <v>47.3333333333333</v>
      </c>
      <c r="AK13" s="41" t="n">
        <f aca="false">MAX(0,AK10-(AK11-AK12))</f>
        <v>48.0000000000001</v>
      </c>
      <c r="AL13" s="41" t="n">
        <f aca="false">MAX(0,AL10-(AL11-AL12))</f>
        <v>48.6666666666666</v>
      </c>
      <c r="AM13" s="41" t="n">
        <f aca="false">MAX(0,AM10-(AM11-AM12))</f>
        <v>49.3333333333334</v>
      </c>
      <c r="AN13" s="41" t="n">
        <f aca="false">MAX(0,AN10-(AN11-AN12))</f>
        <v>49.9999999999999</v>
      </c>
      <c r="AO13" s="41" t="n">
        <f aca="false">MAX(0,AO10-(AO11-AO12))</f>
        <v>50.6666666666667</v>
      </c>
      <c r="AP13" s="41" t="n">
        <f aca="false">MAX(0,AP10-(AP11-AP12))</f>
        <v>51.3333333333334</v>
      </c>
      <c r="AQ13" s="41" t="n">
        <f aca="false">MAX(0,AQ10-(AQ11-AQ12))</f>
        <v>51.9999999999999</v>
      </c>
      <c r="AR13" s="41" t="n">
        <f aca="false">MAX(0,AR10-(AR11-AR12))</f>
        <v>52.6666666666667</v>
      </c>
      <c r="AS13" s="41" t="n">
        <f aca="false">MAX(0,AS10-(AS11-AS12))</f>
        <v>53.3333333333333</v>
      </c>
      <c r="AT13" s="41" t="n">
        <f aca="false">MAX(0,AT10-(AT11-AT12))</f>
        <v>54.0000000000001</v>
      </c>
      <c r="AU13" s="41" t="n">
        <f aca="false">MAX(0,AU10-(AU11-AU12))</f>
        <v>54.6666666666665</v>
      </c>
      <c r="AV13" s="41" t="n">
        <f aca="false">MAX(0,AV10-(AV11-AV12))</f>
        <v>55.3333333333333</v>
      </c>
      <c r="AW13" s="41" t="n">
        <f aca="false">MAX(0,AW10-(AW11-AW12))</f>
        <v>56.0000000000002</v>
      </c>
      <c r="AX13" s="41" t="n">
        <f aca="false">MAX(0,AX10-(AX11-AX12))</f>
        <v>56.6666666666665</v>
      </c>
      <c r="AY13" s="41" t="n">
        <f aca="false">MAX(0,AY10-(AY11-AY12))</f>
        <v>57.3333333333333</v>
      </c>
      <c r="AZ13" s="41" t="n">
        <f aca="false">MAX(0,AZ10-(AZ11-AZ12))</f>
        <v>58.0000000000002</v>
      </c>
      <c r="BA13" s="41" t="n">
        <f aca="false">MAX(0,BA10-(BA11-BA12))</f>
        <v>58.6666666666665</v>
      </c>
      <c r="BB13" s="41" t="n">
        <f aca="false">MAX(0,BB10-(BB11-BB12))</f>
        <v>59.3333333333333</v>
      </c>
      <c r="BC13" s="41" t="n">
        <f aca="false">MAX(0,BC10-(BC11-BC12))</f>
        <v>60.0000000000002</v>
      </c>
      <c r="BD13" s="41" t="n">
        <f aca="false">MAX(0,BD10-(BD11-BD12))</f>
        <v>60.6666666666665</v>
      </c>
      <c r="BE13" s="41" t="n">
        <f aca="false">MAX(0,BE10-(BE11-BE12))</f>
        <v>61.3333333333333</v>
      </c>
      <c r="BF13" s="41" t="n">
        <f aca="false">MAX(0,BF10-(BF11-BF12))</f>
        <v>62.0000000000002</v>
      </c>
      <c r="BG13" s="41" t="n">
        <f aca="false">MAX(0,BG10-(BG11-BG12))</f>
        <v>62.6666666666665</v>
      </c>
      <c r="BH13" s="41" t="n">
        <f aca="false">MAX(0,BH10-(BH11-BH12))</f>
        <v>63.3333333333333</v>
      </c>
      <c r="BI13" s="41" t="n">
        <f aca="false">MAX(0,BI10-(BI11-BI12))</f>
        <v>64.0000000000002</v>
      </c>
      <c r="BJ13" s="41" t="n">
        <f aca="false">MAX(0,BJ10-(BJ11-BJ12))</f>
        <v>64.6666666666665</v>
      </c>
    </row>
    <row r="14" customFormat="false" ht="15" hidden="false" customHeight="true" outlineLevel="0" collapsed="false">
      <c r="A14" s="16" t="s">
        <v>245</v>
      </c>
      <c r="B14" s="7" t="s">
        <v>73</v>
      </c>
      <c r="C14" s="42" t="n">
        <f aca="false">C11-C12+C13</f>
        <v>12.495</v>
      </c>
      <c r="D14" s="42" t="n">
        <f aca="false">D11-D12+D13</f>
        <v>18.75</v>
      </c>
      <c r="E14" s="42" t="n">
        <f aca="false">E11-E12+E13</f>
        <v>31.245</v>
      </c>
      <c r="F14" s="42" t="n">
        <f aca="false">F11-F12+F13</f>
        <v>43.755</v>
      </c>
      <c r="G14" s="42" t="n">
        <f aca="false">G11-G12+G13</f>
        <v>56.25</v>
      </c>
      <c r="H14" s="42" t="n">
        <f aca="false">H11-H12+H13</f>
        <v>68.745</v>
      </c>
      <c r="I14" s="42" t="n">
        <f aca="false">I11-I12+I13</f>
        <v>81.255</v>
      </c>
      <c r="J14" s="42" t="n">
        <f aca="false">J11-J12+J13</f>
        <v>100.005</v>
      </c>
      <c r="K14" s="42" t="n">
        <f aca="false">K11-K12+K13</f>
        <v>112.5</v>
      </c>
      <c r="L14" s="42" t="n">
        <f aca="false">L11-L12+L13</f>
        <v>124.995</v>
      </c>
      <c r="M14" s="42" t="n">
        <f aca="false">M11-M12+M13</f>
        <v>137.505</v>
      </c>
      <c r="N14" s="42" t="n">
        <f aca="false">N11-N12+N13</f>
        <v>150</v>
      </c>
      <c r="O14" s="42" t="n">
        <f aca="false">O11-O12+O13</f>
        <v>170.833333333333</v>
      </c>
      <c r="P14" s="42" t="n">
        <f aca="false">P11-P12+P13</f>
        <v>191.666666666667</v>
      </c>
      <c r="Q14" s="42" t="n">
        <f aca="false">Q11-Q12+Q13</f>
        <v>212.5</v>
      </c>
      <c r="R14" s="42" t="n">
        <f aca="false">R11-R12+R13</f>
        <v>233.333333333333</v>
      </c>
      <c r="S14" s="42" t="n">
        <f aca="false">S11-S12+S13</f>
        <v>254.166666666667</v>
      </c>
      <c r="T14" s="42" t="n">
        <f aca="false">T11-T12+T13</f>
        <v>275</v>
      </c>
      <c r="U14" s="42" t="n">
        <f aca="false">U11-U12+U13</f>
        <v>295.833333333333</v>
      </c>
      <c r="V14" s="42" t="n">
        <f aca="false">V11-V12+V13</f>
        <v>316.666666666667</v>
      </c>
      <c r="W14" s="42" t="n">
        <f aca="false">W11-W12+W13</f>
        <v>337.5</v>
      </c>
      <c r="X14" s="42" t="n">
        <f aca="false">X11-X12+X13</f>
        <v>358.333333333333</v>
      </c>
      <c r="Y14" s="42" t="n">
        <f aca="false">Y11-Y12+Y13</f>
        <v>379.166666666667</v>
      </c>
      <c r="Z14" s="42" t="n">
        <f aca="false">Z11-Z12+Z13</f>
        <v>400</v>
      </c>
      <c r="AA14" s="42" t="n">
        <f aca="false">AA11-AA12+AA13</f>
        <v>433.333333333333</v>
      </c>
      <c r="AB14" s="42" t="n">
        <f aca="false">AB11-AB12+AB13</f>
        <v>466.666666666667</v>
      </c>
      <c r="AC14" s="42" t="n">
        <f aca="false">AC11-AC12+AC13</f>
        <v>500</v>
      </c>
      <c r="AD14" s="42" t="n">
        <f aca="false">AD11-AD12+AD13</f>
        <v>533.333333333333</v>
      </c>
      <c r="AE14" s="42" t="n">
        <f aca="false">AE11-AE12+AE13</f>
        <v>566.666666666667</v>
      </c>
      <c r="AF14" s="42" t="n">
        <f aca="false">AF11-AF12+AF13</f>
        <v>600</v>
      </c>
      <c r="AG14" s="42" t="n">
        <f aca="false">AG11-AG12+AG13</f>
        <v>633.333333333333</v>
      </c>
      <c r="AH14" s="42" t="n">
        <f aca="false">AH11-AH12+AH13</f>
        <v>666.666666666667</v>
      </c>
      <c r="AI14" s="42" t="n">
        <f aca="false">AI11-AI12+AI13</f>
        <v>700</v>
      </c>
      <c r="AJ14" s="42" t="n">
        <f aca="false">AJ11-AJ12+AJ13</f>
        <v>733.333333333333</v>
      </c>
      <c r="AK14" s="42" t="n">
        <f aca="false">AK11-AK12+AK13</f>
        <v>766.666666666667</v>
      </c>
      <c r="AL14" s="42" t="n">
        <f aca="false">AL11-AL12+AL13</f>
        <v>800</v>
      </c>
      <c r="AM14" s="42" t="n">
        <f aca="false">AM11-AM12+AM13</f>
        <v>833.333333333333</v>
      </c>
      <c r="AN14" s="42" t="n">
        <f aca="false">AN11-AN12+AN13</f>
        <v>866.666666666667</v>
      </c>
      <c r="AO14" s="42" t="n">
        <f aca="false">AO11-AO12+AO13</f>
        <v>900</v>
      </c>
      <c r="AP14" s="42" t="n">
        <f aca="false">AP11-AP12+AP13</f>
        <v>933.333333333333</v>
      </c>
      <c r="AQ14" s="42" t="n">
        <f aca="false">AQ11-AQ12+AQ13</f>
        <v>966.666666666667</v>
      </c>
      <c r="AR14" s="42" t="n">
        <f aca="false">AR11-AR12+AR13</f>
        <v>1000</v>
      </c>
      <c r="AS14" s="42" t="n">
        <f aca="false">AS11-AS12+AS13</f>
        <v>1033.33333333333</v>
      </c>
      <c r="AT14" s="42" t="n">
        <f aca="false">AT11-AT12+AT13</f>
        <v>1066.66666666667</v>
      </c>
      <c r="AU14" s="42" t="n">
        <f aca="false">AU11-AU12+AU13</f>
        <v>1100</v>
      </c>
      <c r="AV14" s="42" t="n">
        <f aca="false">AV11-AV12+AV13</f>
        <v>1133.33333333333</v>
      </c>
      <c r="AW14" s="42" t="n">
        <f aca="false">AW11-AW12+AW13</f>
        <v>1166.66666666667</v>
      </c>
      <c r="AX14" s="42" t="n">
        <f aca="false">AX11-AX12+AX13</f>
        <v>1200</v>
      </c>
      <c r="AY14" s="42" t="n">
        <f aca="false">AY11-AY12+AY13</f>
        <v>1233.33333333333</v>
      </c>
      <c r="AZ14" s="42" t="n">
        <f aca="false">AZ11-AZ12+AZ13</f>
        <v>1266.66666666667</v>
      </c>
      <c r="BA14" s="42" t="n">
        <f aca="false">BA11-BA12+BA13</f>
        <v>1300</v>
      </c>
      <c r="BB14" s="42" t="n">
        <f aca="false">BB11-BB12+BB13</f>
        <v>1333.33333333333</v>
      </c>
      <c r="BC14" s="42" t="n">
        <f aca="false">BC11-BC12+BC13</f>
        <v>1366.66666666667</v>
      </c>
      <c r="BD14" s="42" t="n">
        <f aca="false">BD11-BD12+BD13</f>
        <v>1400</v>
      </c>
      <c r="BE14" s="42" t="n">
        <f aca="false">BE11-BE12+BE13</f>
        <v>1433.33333333333</v>
      </c>
      <c r="BF14" s="42" t="n">
        <f aca="false">BF11-BF12+BF13</f>
        <v>1466.66666666667</v>
      </c>
      <c r="BG14" s="42" t="n">
        <f aca="false">BG11-BG12+BG13</f>
        <v>1500</v>
      </c>
      <c r="BH14" s="42" t="n">
        <f aca="false">BH11-BH12+BH13</f>
        <v>1533.33333333333</v>
      </c>
      <c r="BI14" s="42" t="n">
        <f aca="false">BI11-BI12+BI13</f>
        <v>1566.66666666667</v>
      </c>
      <c r="BJ14" s="42" t="n">
        <f aca="false">BJ11-BJ12+BJ13</f>
        <v>1600</v>
      </c>
    </row>
    <row r="16" customFormat="false" ht="15" hidden="false" customHeight="true" outlineLevel="0" collapsed="false">
      <c r="A16" s="28" t="s">
        <v>246</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row>
    <row r="17" customFormat="false" ht="15" hidden="false" customHeight="true" outlineLevel="0" collapsed="false">
      <c r="A17" s="10" t="s">
        <v>247</v>
      </c>
      <c r="B17" s="7" t="s">
        <v>146</v>
      </c>
      <c r="C17" s="43" t="n">
        <f aca="false">Supuestos!$C$26*(1+Supuestos!$C$27)^(C6-1)</f>
        <v>39900</v>
      </c>
      <c r="D17" s="43" t="n">
        <f aca="false">Supuestos!$C$26*(1+Supuestos!$C$27)^(D6-1)</f>
        <v>39900</v>
      </c>
      <c r="E17" s="43" t="n">
        <f aca="false">Supuestos!$C$26*(1+Supuestos!$C$27)^(E6-1)</f>
        <v>39900</v>
      </c>
      <c r="F17" s="43" t="n">
        <f aca="false">Supuestos!$C$26*(1+Supuestos!$C$27)^(F6-1)</f>
        <v>39900</v>
      </c>
      <c r="G17" s="43" t="n">
        <f aca="false">Supuestos!$C$26*(1+Supuestos!$C$27)^(G6-1)</f>
        <v>39900</v>
      </c>
      <c r="H17" s="43" t="n">
        <f aca="false">Supuestos!$C$26*(1+Supuestos!$C$27)^(H6-1)</f>
        <v>39900</v>
      </c>
      <c r="I17" s="43" t="n">
        <f aca="false">Supuestos!$C$26*(1+Supuestos!$C$27)^(I6-1)</f>
        <v>39900</v>
      </c>
      <c r="J17" s="43" t="n">
        <f aca="false">Supuestos!$C$26*(1+Supuestos!$C$27)^(J6-1)</f>
        <v>39900</v>
      </c>
      <c r="K17" s="43" t="n">
        <f aca="false">Supuestos!$C$26*(1+Supuestos!$C$27)^(K6-1)</f>
        <v>39900</v>
      </c>
      <c r="L17" s="43" t="n">
        <f aca="false">Supuestos!$C$26*(1+Supuestos!$C$27)^(L6-1)</f>
        <v>39900</v>
      </c>
      <c r="M17" s="43" t="n">
        <f aca="false">Supuestos!$C$26*(1+Supuestos!$C$27)^(M6-1)</f>
        <v>39900</v>
      </c>
      <c r="N17" s="43" t="n">
        <f aca="false">Supuestos!$C$26*(1+Supuestos!$C$27)^(N6-1)</f>
        <v>39900</v>
      </c>
      <c r="O17" s="43" t="n">
        <f aca="false">Supuestos!$C$26*(1+Supuestos!$C$27)^(O6-1)</f>
        <v>41895</v>
      </c>
      <c r="P17" s="43" t="n">
        <f aca="false">Supuestos!$C$26*(1+Supuestos!$C$27)^(P6-1)</f>
        <v>41895</v>
      </c>
      <c r="Q17" s="43" t="n">
        <f aca="false">Supuestos!$C$26*(1+Supuestos!$C$27)^(Q6-1)</f>
        <v>41895</v>
      </c>
      <c r="R17" s="43" t="n">
        <f aca="false">Supuestos!$C$26*(1+Supuestos!$C$27)^(R6-1)</f>
        <v>41895</v>
      </c>
      <c r="S17" s="43" t="n">
        <f aca="false">Supuestos!$C$26*(1+Supuestos!$C$27)^(S6-1)</f>
        <v>41895</v>
      </c>
      <c r="T17" s="43" t="n">
        <f aca="false">Supuestos!$C$26*(1+Supuestos!$C$27)^(T6-1)</f>
        <v>41895</v>
      </c>
      <c r="U17" s="43" t="n">
        <f aca="false">Supuestos!$C$26*(1+Supuestos!$C$27)^(U6-1)</f>
        <v>41895</v>
      </c>
      <c r="V17" s="43" t="n">
        <f aca="false">Supuestos!$C$26*(1+Supuestos!$C$27)^(V6-1)</f>
        <v>41895</v>
      </c>
      <c r="W17" s="43" t="n">
        <f aca="false">Supuestos!$C$26*(1+Supuestos!$C$27)^(W6-1)</f>
        <v>41895</v>
      </c>
      <c r="X17" s="43" t="n">
        <f aca="false">Supuestos!$C$26*(1+Supuestos!$C$27)^(X6-1)</f>
        <v>41895</v>
      </c>
      <c r="Y17" s="43" t="n">
        <f aca="false">Supuestos!$C$26*(1+Supuestos!$C$27)^(Y6-1)</f>
        <v>41895</v>
      </c>
      <c r="Z17" s="43" t="n">
        <f aca="false">Supuestos!$C$26*(1+Supuestos!$C$27)^(Z6-1)</f>
        <v>41895</v>
      </c>
      <c r="AA17" s="43" t="n">
        <f aca="false">Supuestos!$C$26*(1+Supuestos!$C$27)^(AA6-1)</f>
        <v>43989.75</v>
      </c>
      <c r="AB17" s="43" t="n">
        <f aca="false">Supuestos!$C$26*(1+Supuestos!$C$27)^(AB6-1)</f>
        <v>43989.75</v>
      </c>
      <c r="AC17" s="43" t="n">
        <f aca="false">Supuestos!$C$26*(1+Supuestos!$C$27)^(AC6-1)</f>
        <v>43989.75</v>
      </c>
      <c r="AD17" s="43" t="n">
        <f aca="false">Supuestos!$C$26*(1+Supuestos!$C$27)^(AD6-1)</f>
        <v>43989.75</v>
      </c>
      <c r="AE17" s="43" t="n">
        <f aca="false">Supuestos!$C$26*(1+Supuestos!$C$27)^(AE6-1)</f>
        <v>43989.75</v>
      </c>
      <c r="AF17" s="43" t="n">
        <f aca="false">Supuestos!$C$26*(1+Supuestos!$C$27)^(AF6-1)</f>
        <v>43989.75</v>
      </c>
      <c r="AG17" s="43" t="n">
        <f aca="false">Supuestos!$C$26*(1+Supuestos!$C$27)^(AG6-1)</f>
        <v>43989.75</v>
      </c>
      <c r="AH17" s="43" t="n">
        <f aca="false">Supuestos!$C$26*(1+Supuestos!$C$27)^(AH6-1)</f>
        <v>43989.75</v>
      </c>
      <c r="AI17" s="43" t="n">
        <f aca="false">Supuestos!$C$26*(1+Supuestos!$C$27)^(AI6-1)</f>
        <v>43989.75</v>
      </c>
      <c r="AJ17" s="43" t="n">
        <f aca="false">Supuestos!$C$26*(1+Supuestos!$C$27)^(AJ6-1)</f>
        <v>43989.75</v>
      </c>
      <c r="AK17" s="43" t="n">
        <f aca="false">Supuestos!$C$26*(1+Supuestos!$C$27)^(AK6-1)</f>
        <v>43989.75</v>
      </c>
      <c r="AL17" s="43" t="n">
        <f aca="false">Supuestos!$C$26*(1+Supuestos!$C$27)^(AL6-1)</f>
        <v>43989.75</v>
      </c>
      <c r="AM17" s="43" t="n">
        <f aca="false">Supuestos!$C$26*(1+Supuestos!$C$27)^(AM6-1)</f>
        <v>46189.2375</v>
      </c>
      <c r="AN17" s="43" t="n">
        <f aca="false">Supuestos!$C$26*(1+Supuestos!$C$27)^(AN6-1)</f>
        <v>46189.2375</v>
      </c>
      <c r="AO17" s="43" t="n">
        <f aca="false">Supuestos!$C$26*(1+Supuestos!$C$27)^(AO6-1)</f>
        <v>46189.2375</v>
      </c>
      <c r="AP17" s="43" t="n">
        <f aca="false">Supuestos!$C$26*(1+Supuestos!$C$27)^(AP6-1)</f>
        <v>46189.2375</v>
      </c>
      <c r="AQ17" s="43" t="n">
        <f aca="false">Supuestos!$C$26*(1+Supuestos!$C$27)^(AQ6-1)</f>
        <v>46189.2375</v>
      </c>
      <c r="AR17" s="43" t="n">
        <f aca="false">Supuestos!$C$26*(1+Supuestos!$C$27)^(AR6-1)</f>
        <v>46189.2375</v>
      </c>
      <c r="AS17" s="43" t="n">
        <f aca="false">Supuestos!$C$26*(1+Supuestos!$C$27)^(AS6-1)</f>
        <v>46189.2375</v>
      </c>
      <c r="AT17" s="43" t="n">
        <f aca="false">Supuestos!$C$26*(1+Supuestos!$C$27)^(AT6-1)</f>
        <v>46189.2375</v>
      </c>
      <c r="AU17" s="43" t="n">
        <f aca="false">Supuestos!$C$26*(1+Supuestos!$C$27)^(AU6-1)</f>
        <v>46189.2375</v>
      </c>
      <c r="AV17" s="43" t="n">
        <f aca="false">Supuestos!$C$26*(1+Supuestos!$C$27)^(AV6-1)</f>
        <v>46189.2375</v>
      </c>
      <c r="AW17" s="43" t="n">
        <f aca="false">Supuestos!$C$26*(1+Supuestos!$C$27)^(AW6-1)</f>
        <v>46189.2375</v>
      </c>
      <c r="AX17" s="43" t="n">
        <f aca="false">Supuestos!$C$26*(1+Supuestos!$C$27)^(AX6-1)</f>
        <v>46189.2375</v>
      </c>
      <c r="AY17" s="43" t="n">
        <f aca="false">Supuestos!$C$26*(1+Supuestos!$C$27)^(AY6-1)</f>
        <v>48498.699375</v>
      </c>
      <c r="AZ17" s="43" t="n">
        <f aca="false">Supuestos!$C$26*(1+Supuestos!$C$27)^(AZ6-1)</f>
        <v>48498.699375</v>
      </c>
      <c r="BA17" s="43" t="n">
        <f aca="false">Supuestos!$C$26*(1+Supuestos!$C$27)^(BA6-1)</f>
        <v>48498.699375</v>
      </c>
      <c r="BB17" s="43" t="n">
        <f aca="false">Supuestos!$C$26*(1+Supuestos!$C$27)^(BB6-1)</f>
        <v>48498.699375</v>
      </c>
      <c r="BC17" s="43" t="n">
        <f aca="false">Supuestos!$C$26*(1+Supuestos!$C$27)^(BC6-1)</f>
        <v>48498.699375</v>
      </c>
      <c r="BD17" s="43" t="n">
        <f aca="false">Supuestos!$C$26*(1+Supuestos!$C$27)^(BD6-1)</f>
        <v>48498.699375</v>
      </c>
      <c r="BE17" s="43" t="n">
        <f aca="false">Supuestos!$C$26*(1+Supuestos!$C$27)^(BE6-1)</f>
        <v>48498.699375</v>
      </c>
      <c r="BF17" s="43" t="n">
        <f aca="false">Supuestos!$C$26*(1+Supuestos!$C$27)^(BF6-1)</f>
        <v>48498.699375</v>
      </c>
      <c r="BG17" s="43" t="n">
        <f aca="false">Supuestos!$C$26*(1+Supuestos!$C$27)^(BG6-1)</f>
        <v>48498.699375</v>
      </c>
      <c r="BH17" s="43" t="n">
        <f aca="false">Supuestos!$C$26*(1+Supuestos!$C$27)^(BH6-1)</f>
        <v>48498.699375</v>
      </c>
      <c r="BI17" s="43" t="n">
        <f aca="false">Supuestos!$C$26*(1+Supuestos!$C$27)^(BI6-1)</f>
        <v>48498.699375</v>
      </c>
      <c r="BJ17" s="43" t="n">
        <f aca="false">Supuestos!$C$26*(1+Supuestos!$C$27)^(BJ6-1)</f>
        <v>48498.699375</v>
      </c>
    </row>
    <row r="18" customFormat="false" ht="15" hidden="false" customHeight="true" outlineLevel="0" collapsed="false">
      <c r="A18" s="16" t="s">
        <v>57</v>
      </c>
      <c r="B18" s="7" t="s">
        <v>146</v>
      </c>
      <c r="C18" s="35" t="n">
        <f aca="false">C14*C17</f>
        <v>498550.5</v>
      </c>
      <c r="D18" s="35" t="n">
        <f aca="false">D14*D17</f>
        <v>748125</v>
      </c>
      <c r="E18" s="35" t="n">
        <f aca="false">E14*E17</f>
        <v>1246675.5</v>
      </c>
      <c r="F18" s="35" t="n">
        <f aca="false">F14*F17</f>
        <v>1745824.5</v>
      </c>
      <c r="G18" s="35" t="n">
        <f aca="false">G14*G17</f>
        <v>2244375</v>
      </c>
      <c r="H18" s="35" t="n">
        <f aca="false">H14*H17</f>
        <v>2742925.5</v>
      </c>
      <c r="I18" s="35" t="n">
        <f aca="false">I14*I17</f>
        <v>3242074.5</v>
      </c>
      <c r="J18" s="35" t="n">
        <f aca="false">J14*J17</f>
        <v>3990199.5</v>
      </c>
      <c r="K18" s="35" t="n">
        <f aca="false">K14*K17</f>
        <v>4488750</v>
      </c>
      <c r="L18" s="35" t="n">
        <f aca="false">L14*L17</f>
        <v>4987300.5</v>
      </c>
      <c r="M18" s="35" t="n">
        <f aca="false">M14*M17</f>
        <v>5486449.5</v>
      </c>
      <c r="N18" s="35" t="n">
        <f aca="false">N14*N17</f>
        <v>5985000</v>
      </c>
      <c r="O18" s="35" t="n">
        <f aca="false">O14*O17</f>
        <v>7157062.5</v>
      </c>
      <c r="P18" s="35" t="n">
        <f aca="false">P14*P17</f>
        <v>8029875</v>
      </c>
      <c r="Q18" s="35" t="n">
        <f aca="false">Q14*Q17</f>
        <v>8902687.5</v>
      </c>
      <c r="R18" s="35" t="n">
        <f aca="false">R14*R17</f>
        <v>9775500</v>
      </c>
      <c r="S18" s="35" t="n">
        <f aca="false">S14*S17</f>
        <v>10648312.5</v>
      </c>
      <c r="T18" s="35" t="n">
        <f aca="false">T14*T17</f>
        <v>11521125</v>
      </c>
      <c r="U18" s="35" t="n">
        <f aca="false">U14*U17</f>
        <v>12393937.5</v>
      </c>
      <c r="V18" s="35" t="n">
        <f aca="false">V14*V17</f>
        <v>13266750</v>
      </c>
      <c r="W18" s="35" t="n">
        <f aca="false">W14*W17</f>
        <v>14139562.5</v>
      </c>
      <c r="X18" s="35" t="n">
        <f aca="false">X14*X17</f>
        <v>15012375</v>
      </c>
      <c r="Y18" s="35" t="n">
        <f aca="false">Y14*Y17</f>
        <v>15885187.5</v>
      </c>
      <c r="Z18" s="35" t="n">
        <f aca="false">Z14*Z17</f>
        <v>16758000</v>
      </c>
      <c r="AA18" s="35" t="n">
        <f aca="false">AA14*AA17</f>
        <v>19062225</v>
      </c>
      <c r="AB18" s="35" t="n">
        <f aca="false">AB14*AB17</f>
        <v>20528550</v>
      </c>
      <c r="AC18" s="35" t="n">
        <f aca="false">AC14*AC17</f>
        <v>21994875</v>
      </c>
      <c r="AD18" s="35" t="n">
        <f aca="false">AD14*AD17</f>
        <v>23461200</v>
      </c>
      <c r="AE18" s="35" t="n">
        <f aca="false">AE14*AE17</f>
        <v>24927525</v>
      </c>
      <c r="AF18" s="35" t="n">
        <f aca="false">AF14*AF17</f>
        <v>26393850</v>
      </c>
      <c r="AG18" s="35" t="n">
        <f aca="false">AG14*AG17</f>
        <v>27860175</v>
      </c>
      <c r="AH18" s="35" t="n">
        <f aca="false">AH14*AH17</f>
        <v>29326500</v>
      </c>
      <c r="AI18" s="35" t="n">
        <f aca="false">AI14*AI17</f>
        <v>30792825</v>
      </c>
      <c r="AJ18" s="35" t="n">
        <f aca="false">AJ14*AJ17</f>
        <v>32259150</v>
      </c>
      <c r="AK18" s="35" t="n">
        <f aca="false">AK14*AK17</f>
        <v>33725475</v>
      </c>
      <c r="AL18" s="35" t="n">
        <f aca="false">AL14*AL17</f>
        <v>35191800</v>
      </c>
      <c r="AM18" s="35" t="n">
        <f aca="false">AM14*AM17</f>
        <v>38491031.25</v>
      </c>
      <c r="AN18" s="35" t="n">
        <f aca="false">AN14*AN17</f>
        <v>40030672.5</v>
      </c>
      <c r="AO18" s="35" t="n">
        <f aca="false">AO14*AO17</f>
        <v>41570313.75</v>
      </c>
      <c r="AP18" s="35" t="n">
        <f aca="false">AP14*AP17</f>
        <v>43109955</v>
      </c>
      <c r="AQ18" s="35" t="n">
        <f aca="false">AQ14*AQ17</f>
        <v>44649596.25</v>
      </c>
      <c r="AR18" s="35" t="n">
        <f aca="false">AR14*AR17</f>
        <v>46189237.5</v>
      </c>
      <c r="AS18" s="35" t="n">
        <f aca="false">AS14*AS17</f>
        <v>47728878.75</v>
      </c>
      <c r="AT18" s="35" t="n">
        <f aca="false">AT14*AT17</f>
        <v>49268520</v>
      </c>
      <c r="AU18" s="35" t="n">
        <f aca="false">AU14*AU17</f>
        <v>50808161.25</v>
      </c>
      <c r="AV18" s="35" t="n">
        <f aca="false">AV14*AV17</f>
        <v>52347802.5</v>
      </c>
      <c r="AW18" s="35" t="n">
        <f aca="false">AW14*AW17</f>
        <v>53887443.75</v>
      </c>
      <c r="AX18" s="35" t="n">
        <f aca="false">AX14*AX17</f>
        <v>55427085</v>
      </c>
      <c r="AY18" s="35" t="n">
        <f aca="false">AY14*AY17</f>
        <v>59815062.5625</v>
      </c>
      <c r="AZ18" s="35" t="n">
        <f aca="false">AZ14*AZ17</f>
        <v>61431685.875</v>
      </c>
      <c r="BA18" s="35" t="n">
        <f aca="false">BA14*BA17</f>
        <v>63048309.1875</v>
      </c>
      <c r="BB18" s="35" t="n">
        <f aca="false">BB14*BB17</f>
        <v>64664932.5</v>
      </c>
      <c r="BC18" s="35" t="n">
        <f aca="false">BC14*BC17</f>
        <v>66281555.8125</v>
      </c>
      <c r="BD18" s="35" t="n">
        <f aca="false">BD14*BD17</f>
        <v>67898179.125</v>
      </c>
      <c r="BE18" s="35" t="n">
        <f aca="false">BE14*BE17</f>
        <v>69514802.4375</v>
      </c>
      <c r="BF18" s="35" t="n">
        <f aca="false">BF14*BF17</f>
        <v>71131425.75</v>
      </c>
      <c r="BG18" s="35" t="n">
        <f aca="false">BG14*BG17</f>
        <v>72748049.0625</v>
      </c>
      <c r="BH18" s="35" t="n">
        <f aca="false">BH14*BH17</f>
        <v>74364672.375</v>
      </c>
      <c r="BI18" s="35" t="n">
        <f aca="false">BI14*BI17</f>
        <v>75981295.6875</v>
      </c>
      <c r="BJ18" s="35" t="n">
        <f aca="false">BJ14*BJ17</f>
        <v>77597919</v>
      </c>
    </row>
    <row r="19" customFormat="false" ht="15" hidden="false" customHeight="true" outlineLevel="0" collapsed="false">
      <c r="A19" s="10" t="s">
        <v>248</v>
      </c>
      <c r="B19" s="7" t="s">
        <v>146</v>
      </c>
      <c r="C19" s="43" t="n">
        <f aca="false">C14*Supuestos!$C$29*(1+Supuestos!$C$39)^(C6-1)</f>
        <v>15618.75</v>
      </c>
      <c r="D19" s="43" t="n">
        <f aca="false">D14*Supuestos!$C$29*(1+Supuestos!$C$39)^(D6-1)</f>
        <v>23437.5</v>
      </c>
      <c r="E19" s="43" t="n">
        <f aca="false">E14*Supuestos!$C$29*(1+Supuestos!$C$39)^(E6-1)</f>
        <v>39056.25</v>
      </c>
      <c r="F19" s="43" t="n">
        <f aca="false">F14*Supuestos!$C$29*(1+Supuestos!$C$39)^(F6-1)</f>
        <v>54693.75</v>
      </c>
      <c r="G19" s="43" t="n">
        <f aca="false">G14*Supuestos!$C$29*(1+Supuestos!$C$39)^(G6-1)</f>
        <v>70312.5</v>
      </c>
      <c r="H19" s="43" t="n">
        <f aca="false">H14*Supuestos!$C$29*(1+Supuestos!$C$39)^(H6-1)</f>
        <v>85931.25</v>
      </c>
      <c r="I19" s="43" t="n">
        <f aca="false">I14*Supuestos!$C$29*(1+Supuestos!$C$39)^(I6-1)</f>
        <v>101568.75</v>
      </c>
      <c r="J19" s="43" t="n">
        <f aca="false">J14*Supuestos!$C$29*(1+Supuestos!$C$39)^(J6-1)</f>
        <v>125006.25</v>
      </c>
      <c r="K19" s="43" t="n">
        <f aca="false">K14*Supuestos!$C$29*(1+Supuestos!$C$39)^(K6-1)</f>
        <v>140625</v>
      </c>
      <c r="L19" s="43" t="n">
        <f aca="false">L14*Supuestos!$C$29*(1+Supuestos!$C$39)^(L6-1)</f>
        <v>156243.75</v>
      </c>
      <c r="M19" s="43" t="n">
        <f aca="false">M14*Supuestos!$C$29*(1+Supuestos!$C$39)^(M6-1)</f>
        <v>171881.25</v>
      </c>
      <c r="N19" s="43" t="n">
        <f aca="false">N14*Supuestos!$C$29*(1+Supuestos!$C$39)^(N6-1)</f>
        <v>187500</v>
      </c>
      <c r="O19" s="43" t="n">
        <f aca="false">O14*Supuestos!$C$29*(1+Supuestos!$C$39)^(O6-1)</f>
        <v>224218.75</v>
      </c>
      <c r="P19" s="43" t="n">
        <f aca="false">P14*Supuestos!$C$29*(1+Supuestos!$C$39)^(P6-1)</f>
        <v>251562.5</v>
      </c>
      <c r="Q19" s="43" t="n">
        <f aca="false">Q14*Supuestos!$C$29*(1+Supuestos!$C$39)^(Q6-1)</f>
        <v>278906.25</v>
      </c>
      <c r="R19" s="43" t="n">
        <f aca="false">R14*Supuestos!$C$29*(1+Supuestos!$C$39)^(R6-1)</f>
        <v>306250</v>
      </c>
      <c r="S19" s="43" t="n">
        <f aca="false">S14*Supuestos!$C$29*(1+Supuestos!$C$39)^(S6-1)</f>
        <v>333593.75</v>
      </c>
      <c r="T19" s="43" t="n">
        <f aca="false">T14*Supuestos!$C$29*(1+Supuestos!$C$39)^(T6-1)</f>
        <v>360937.5</v>
      </c>
      <c r="U19" s="43" t="n">
        <f aca="false">U14*Supuestos!$C$29*(1+Supuestos!$C$39)^(U6-1)</f>
        <v>388281.25</v>
      </c>
      <c r="V19" s="43" t="n">
        <f aca="false">V14*Supuestos!$C$29*(1+Supuestos!$C$39)^(V6-1)</f>
        <v>415625</v>
      </c>
      <c r="W19" s="43" t="n">
        <f aca="false">W14*Supuestos!$C$29*(1+Supuestos!$C$39)^(W6-1)</f>
        <v>442968.75</v>
      </c>
      <c r="X19" s="43" t="n">
        <f aca="false">X14*Supuestos!$C$29*(1+Supuestos!$C$39)^(X6-1)</f>
        <v>470312.5</v>
      </c>
      <c r="Y19" s="43" t="n">
        <f aca="false">Y14*Supuestos!$C$29*(1+Supuestos!$C$39)^(Y6-1)</f>
        <v>497656.25</v>
      </c>
      <c r="Z19" s="43" t="n">
        <f aca="false">Z14*Supuestos!$C$29*(1+Supuestos!$C$39)^(Z6-1)</f>
        <v>525000</v>
      </c>
      <c r="AA19" s="43" t="n">
        <f aca="false">AA14*Supuestos!$C$29*(1+Supuestos!$C$39)^(AA6-1)</f>
        <v>597187.5</v>
      </c>
      <c r="AB19" s="43" t="n">
        <f aca="false">AB14*Supuestos!$C$29*(1+Supuestos!$C$39)^(AB6-1)</f>
        <v>643125</v>
      </c>
      <c r="AC19" s="43" t="n">
        <f aca="false">AC14*Supuestos!$C$29*(1+Supuestos!$C$39)^(AC6-1)</f>
        <v>689062.5</v>
      </c>
      <c r="AD19" s="43" t="n">
        <f aca="false">AD14*Supuestos!$C$29*(1+Supuestos!$C$39)^(AD6-1)</f>
        <v>735000</v>
      </c>
      <c r="AE19" s="43" t="n">
        <f aca="false">AE14*Supuestos!$C$29*(1+Supuestos!$C$39)^(AE6-1)</f>
        <v>780937.5</v>
      </c>
      <c r="AF19" s="43" t="n">
        <f aca="false">AF14*Supuestos!$C$29*(1+Supuestos!$C$39)^(AF6-1)</f>
        <v>826875</v>
      </c>
      <c r="AG19" s="43" t="n">
        <f aca="false">AG14*Supuestos!$C$29*(1+Supuestos!$C$39)^(AG6-1)</f>
        <v>872812.5</v>
      </c>
      <c r="AH19" s="43" t="n">
        <f aca="false">AH14*Supuestos!$C$29*(1+Supuestos!$C$39)^(AH6-1)</f>
        <v>918750</v>
      </c>
      <c r="AI19" s="43" t="n">
        <f aca="false">AI14*Supuestos!$C$29*(1+Supuestos!$C$39)^(AI6-1)</f>
        <v>964687.5</v>
      </c>
      <c r="AJ19" s="43" t="n">
        <f aca="false">AJ14*Supuestos!$C$29*(1+Supuestos!$C$39)^(AJ6-1)</f>
        <v>1010625</v>
      </c>
      <c r="AK19" s="43" t="n">
        <f aca="false">AK14*Supuestos!$C$29*(1+Supuestos!$C$39)^(AK6-1)</f>
        <v>1056562.5</v>
      </c>
      <c r="AL19" s="43" t="n">
        <f aca="false">AL14*Supuestos!$C$29*(1+Supuestos!$C$39)^(AL6-1)</f>
        <v>1102500</v>
      </c>
      <c r="AM19" s="43" t="n">
        <f aca="false">AM14*Supuestos!$C$29*(1+Supuestos!$C$39)^(AM6-1)</f>
        <v>1205859.375</v>
      </c>
      <c r="AN19" s="43" t="n">
        <f aca="false">AN14*Supuestos!$C$29*(1+Supuestos!$C$39)^(AN6-1)</f>
        <v>1254093.75</v>
      </c>
      <c r="AO19" s="43" t="n">
        <f aca="false">AO14*Supuestos!$C$29*(1+Supuestos!$C$39)^(AO6-1)</f>
        <v>1302328.125</v>
      </c>
      <c r="AP19" s="43" t="n">
        <f aca="false">AP14*Supuestos!$C$29*(1+Supuestos!$C$39)^(AP6-1)</f>
        <v>1350562.5</v>
      </c>
      <c r="AQ19" s="43" t="n">
        <f aca="false">AQ14*Supuestos!$C$29*(1+Supuestos!$C$39)^(AQ6-1)</f>
        <v>1398796.875</v>
      </c>
      <c r="AR19" s="43" t="n">
        <f aca="false">AR14*Supuestos!$C$29*(1+Supuestos!$C$39)^(AR6-1)</f>
        <v>1447031.25</v>
      </c>
      <c r="AS19" s="43" t="n">
        <f aca="false">AS14*Supuestos!$C$29*(1+Supuestos!$C$39)^(AS6-1)</f>
        <v>1495265.625</v>
      </c>
      <c r="AT19" s="43" t="n">
        <f aca="false">AT14*Supuestos!$C$29*(1+Supuestos!$C$39)^(AT6-1)</f>
        <v>1543500</v>
      </c>
      <c r="AU19" s="43" t="n">
        <f aca="false">AU14*Supuestos!$C$29*(1+Supuestos!$C$39)^(AU6-1)</f>
        <v>1591734.375</v>
      </c>
      <c r="AV19" s="43" t="n">
        <f aca="false">AV14*Supuestos!$C$29*(1+Supuestos!$C$39)^(AV6-1)</f>
        <v>1639968.75</v>
      </c>
      <c r="AW19" s="43" t="n">
        <f aca="false">AW14*Supuestos!$C$29*(1+Supuestos!$C$39)^(AW6-1)</f>
        <v>1688203.125</v>
      </c>
      <c r="AX19" s="43" t="n">
        <f aca="false">AX14*Supuestos!$C$29*(1+Supuestos!$C$39)^(AX6-1)</f>
        <v>1736437.5</v>
      </c>
      <c r="AY19" s="43" t="n">
        <f aca="false">AY14*Supuestos!$C$29*(1+Supuestos!$C$39)^(AY6-1)</f>
        <v>1873905.46875</v>
      </c>
      <c r="AZ19" s="43" t="n">
        <f aca="false">AZ14*Supuestos!$C$29*(1+Supuestos!$C$39)^(AZ6-1)</f>
        <v>1924551.5625</v>
      </c>
      <c r="BA19" s="43" t="n">
        <f aca="false">BA14*Supuestos!$C$29*(1+Supuestos!$C$39)^(BA6-1)</f>
        <v>1975197.65625</v>
      </c>
      <c r="BB19" s="43" t="n">
        <f aca="false">BB14*Supuestos!$C$29*(1+Supuestos!$C$39)^(BB6-1)</f>
        <v>2025843.75</v>
      </c>
      <c r="BC19" s="43" t="n">
        <f aca="false">BC14*Supuestos!$C$29*(1+Supuestos!$C$39)^(BC6-1)</f>
        <v>2076489.84375</v>
      </c>
      <c r="BD19" s="43" t="n">
        <f aca="false">BD14*Supuestos!$C$29*(1+Supuestos!$C$39)^(BD6-1)</f>
        <v>2127135.9375</v>
      </c>
      <c r="BE19" s="43" t="n">
        <f aca="false">BE14*Supuestos!$C$29*(1+Supuestos!$C$39)^(BE6-1)</f>
        <v>2177782.03125</v>
      </c>
      <c r="BF19" s="43" t="n">
        <f aca="false">BF14*Supuestos!$C$29*(1+Supuestos!$C$39)^(BF6-1)</f>
        <v>2228428.125</v>
      </c>
      <c r="BG19" s="43" t="n">
        <f aca="false">BG14*Supuestos!$C$29*(1+Supuestos!$C$39)^(BG6-1)</f>
        <v>2279074.21875</v>
      </c>
      <c r="BH19" s="43" t="n">
        <f aca="false">BH14*Supuestos!$C$29*(1+Supuestos!$C$39)^(BH6-1)</f>
        <v>2329720.3125</v>
      </c>
      <c r="BI19" s="43" t="n">
        <f aca="false">BI14*Supuestos!$C$29*(1+Supuestos!$C$39)^(BI6-1)</f>
        <v>2380366.40625</v>
      </c>
      <c r="BJ19" s="43" t="n">
        <f aca="false">BJ14*Supuestos!$C$29*(1+Supuestos!$C$39)^(BJ6-1)</f>
        <v>2431012.5</v>
      </c>
    </row>
    <row r="20" customFormat="false" ht="15" hidden="false" customHeight="true" outlineLevel="0" collapsed="false">
      <c r="A20" s="10" t="s">
        <v>67</v>
      </c>
      <c r="B20" s="7" t="s">
        <v>146</v>
      </c>
      <c r="C20" s="43" t="n">
        <f aca="false">C18*Supuestos!$C$30</f>
        <v>14956.515</v>
      </c>
      <c r="D20" s="43" t="n">
        <f aca="false">D18*Supuestos!$C$30</f>
        <v>22443.75</v>
      </c>
      <c r="E20" s="43" t="n">
        <f aca="false">E18*Supuestos!$C$30</f>
        <v>37400.265</v>
      </c>
      <c r="F20" s="43" t="n">
        <f aca="false">F18*Supuestos!$C$30</f>
        <v>52374.735</v>
      </c>
      <c r="G20" s="43" t="n">
        <f aca="false">G18*Supuestos!$C$30</f>
        <v>67331.25</v>
      </c>
      <c r="H20" s="43" t="n">
        <f aca="false">H18*Supuestos!$C$30</f>
        <v>82287.765</v>
      </c>
      <c r="I20" s="43" t="n">
        <f aca="false">I18*Supuestos!$C$30</f>
        <v>97262.235</v>
      </c>
      <c r="J20" s="43" t="n">
        <f aca="false">J18*Supuestos!$C$30</f>
        <v>119705.985</v>
      </c>
      <c r="K20" s="43" t="n">
        <f aca="false">K18*Supuestos!$C$30</f>
        <v>134662.5</v>
      </c>
      <c r="L20" s="43" t="n">
        <f aca="false">L18*Supuestos!$C$30</f>
        <v>149619.015</v>
      </c>
      <c r="M20" s="43" t="n">
        <f aca="false">M18*Supuestos!$C$30</f>
        <v>164593.485</v>
      </c>
      <c r="N20" s="43" t="n">
        <f aca="false">N18*Supuestos!$C$30</f>
        <v>179550</v>
      </c>
      <c r="O20" s="43" t="n">
        <f aca="false">O18*Supuestos!$C$30</f>
        <v>214711.875</v>
      </c>
      <c r="P20" s="43" t="n">
        <f aca="false">P18*Supuestos!$C$30</f>
        <v>240896.25</v>
      </c>
      <c r="Q20" s="43" t="n">
        <f aca="false">Q18*Supuestos!$C$30</f>
        <v>267080.625</v>
      </c>
      <c r="R20" s="43" t="n">
        <f aca="false">R18*Supuestos!$C$30</f>
        <v>293265</v>
      </c>
      <c r="S20" s="43" t="n">
        <f aca="false">S18*Supuestos!$C$30</f>
        <v>319449.375</v>
      </c>
      <c r="T20" s="43" t="n">
        <f aca="false">T18*Supuestos!$C$30</f>
        <v>345633.75</v>
      </c>
      <c r="U20" s="43" t="n">
        <f aca="false">U18*Supuestos!$C$30</f>
        <v>371818.125</v>
      </c>
      <c r="V20" s="43" t="n">
        <f aca="false">V18*Supuestos!$C$30</f>
        <v>398002.5</v>
      </c>
      <c r="W20" s="43" t="n">
        <f aca="false">W18*Supuestos!$C$30</f>
        <v>424186.875</v>
      </c>
      <c r="X20" s="43" t="n">
        <f aca="false">X18*Supuestos!$C$30</f>
        <v>450371.25</v>
      </c>
      <c r="Y20" s="43" t="n">
        <f aca="false">Y18*Supuestos!$C$30</f>
        <v>476555.625</v>
      </c>
      <c r="Z20" s="43" t="n">
        <f aca="false">Z18*Supuestos!$C$30</f>
        <v>502740</v>
      </c>
      <c r="AA20" s="43" t="n">
        <f aca="false">AA18*Supuestos!$C$30</f>
        <v>571866.75</v>
      </c>
      <c r="AB20" s="43" t="n">
        <f aca="false">AB18*Supuestos!$C$30</f>
        <v>615856.5</v>
      </c>
      <c r="AC20" s="43" t="n">
        <f aca="false">AC18*Supuestos!$C$30</f>
        <v>659846.25</v>
      </c>
      <c r="AD20" s="43" t="n">
        <f aca="false">AD18*Supuestos!$C$30</f>
        <v>703836</v>
      </c>
      <c r="AE20" s="43" t="n">
        <f aca="false">AE18*Supuestos!$C$30</f>
        <v>747825.75</v>
      </c>
      <c r="AF20" s="43" t="n">
        <f aca="false">AF18*Supuestos!$C$30</f>
        <v>791815.5</v>
      </c>
      <c r="AG20" s="43" t="n">
        <f aca="false">AG18*Supuestos!$C$30</f>
        <v>835805.25</v>
      </c>
      <c r="AH20" s="43" t="n">
        <f aca="false">AH18*Supuestos!$C$30</f>
        <v>879795</v>
      </c>
      <c r="AI20" s="43" t="n">
        <f aca="false">AI18*Supuestos!$C$30</f>
        <v>923784.75</v>
      </c>
      <c r="AJ20" s="43" t="n">
        <f aca="false">AJ18*Supuestos!$C$30</f>
        <v>967774.5</v>
      </c>
      <c r="AK20" s="43" t="n">
        <f aca="false">AK18*Supuestos!$C$30</f>
        <v>1011764.25</v>
      </c>
      <c r="AL20" s="43" t="n">
        <f aca="false">AL18*Supuestos!$C$30</f>
        <v>1055754</v>
      </c>
      <c r="AM20" s="43" t="n">
        <f aca="false">AM18*Supuestos!$C$30</f>
        <v>1154730.9375</v>
      </c>
      <c r="AN20" s="43" t="n">
        <f aca="false">AN18*Supuestos!$C$30</f>
        <v>1200920.175</v>
      </c>
      <c r="AO20" s="43" t="n">
        <f aca="false">AO18*Supuestos!$C$30</f>
        <v>1247109.4125</v>
      </c>
      <c r="AP20" s="43" t="n">
        <f aca="false">AP18*Supuestos!$C$30</f>
        <v>1293298.65</v>
      </c>
      <c r="AQ20" s="43" t="n">
        <f aca="false">AQ18*Supuestos!$C$30</f>
        <v>1339487.8875</v>
      </c>
      <c r="AR20" s="43" t="n">
        <f aca="false">AR18*Supuestos!$C$30</f>
        <v>1385677.125</v>
      </c>
      <c r="AS20" s="43" t="n">
        <f aca="false">AS18*Supuestos!$C$30</f>
        <v>1431866.3625</v>
      </c>
      <c r="AT20" s="43" t="n">
        <f aca="false">AT18*Supuestos!$C$30</f>
        <v>1478055.6</v>
      </c>
      <c r="AU20" s="43" t="n">
        <f aca="false">AU18*Supuestos!$C$30</f>
        <v>1524244.8375</v>
      </c>
      <c r="AV20" s="43" t="n">
        <f aca="false">AV18*Supuestos!$C$30</f>
        <v>1570434.075</v>
      </c>
      <c r="AW20" s="43" t="n">
        <f aca="false">AW18*Supuestos!$C$30</f>
        <v>1616623.3125</v>
      </c>
      <c r="AX20" s="43" t="n">
        <f aca="false">AX18*Supuestos!$C$30</f>
        <v>1662812.55</v>
      </c>
      <c r="AY20" s="43" t="n">
        <f aca="false">AY18*Supuestos!$C$30</f>
        <v>1794451.876875</v>
      </c>
      <c r="AZ20" s="43" t="n">
        <f aca="false">AZ18*Supuestos!$C$30</f>
        <v>1842950.57625</v>
      </c>
      <c r="BA20" s="43" t="n">
        <f aca="false">BA18*Supuestos!$C$30</f>
        <v>1891449.275625</v>
      </c>
      <c r="BB20" s="43" t="n">
        <f aca="false">BB18*Supuestos!$C$30</f>
        <v>1939947.975</v>
      </c>
      <c r="BC20" s="43" t="n">
        <f aca="false">BC18*Supuestos!$C$30</f>
        <v>1988446.674375</v>
      </c>
      <c r="BD20" s="43" t="n">
        <f aca="false">BD18*Supuestos!$C$30</f>
        <v>2036945.37375</v>
      </c>
      <c r="BE20" s="43" t="n">
        <f aca="false">BE18*Supuestos!$C$30</f>
        <v>2085444.073125</v>
      </c>
      <c r="BF20" s="43" t="n">
        <f aca="false">BF18*Supuestos!$C$30</f>
        <v>2133942.7725</v>
      </c>
      <c r="BG20" s="43" t="n">
        <f aca="false">BG18*Supuestos!$C$30</f>
        <v>2182441.471875</v>
      </c>
      <c r="BH20" s="43" t="n">
        <f aca="false">BH18*Supuestos!$C$30</f>
        <v>2230940.17125</v>
      </c>
      <c r="BI20" s="43" t="n">
        <f aca="false">BI18*Supuestos!$C$30</f>
        <v>2279438.870625</v>
      </c>
      <c r="BJ20" s="43" t="n">
        <f aca="false">BJ18*Supuestos!$C$30</f>
        <v>2327937.57</v>
      </c>
    </row>
    <row r="21" customFormat="false" ht="15" hidden="false" customHeight="true" outlineLevel="0" collapsed="false">
      <c r="A21" s="10" t="s">
        <v>249</v>
      </c>
      <c r="B21" s="7" t="s">
        <v>146</v>
      </c>
      <c r="C21" s="43" t="n">
        <f aca="false">IF(C14&lt;=Supuestos!$C$32,Supuestos!$C$31,IF(C14&lt;=Supuestos!$C$34,Supuestos!$C$33,Supuestos!$C$35))</f>
        <v>220000</v>
      </c>
      <c r="D21" s="43" t="n">
        <f aca="false">IF(D14&lt;=Supuestos!$C$32,Supuestos!$C$31,IF(D14&lt;=Supuestos!$C$34,Supuestos!$C$33,Supuestos!$C$35))</f>
        <v>220000</v>
      </c>
      <c r="E21" s="43" t="n">
        <f aca="false">IF(E14&lt;=Supuestos!$C$32,Supuestos!$C$31,IF(E14&lt;=Supuestos!$C$34,Supuestos!$C$33,Supuestos!$C$35))</f>
        <v>220000</v>
      </c>
      <c r="F21" s="43" t="n">
        <f aca="false">IF(F14&lt;=Supuestos!$C$32,Supuestos!$C$31,IF(F14&lt;=Supuestos!$C$34,Supuestos!$C$33,Supuestos!$C$35))</f>
        <v>220000</v>
      </c>
      <c r="G21" s="43" t="n">
        <f aca="false">IF(G14&lt;=Supuestos!$C$32,Supuestos!$C$31,IF(G14&lt;=Supuestos!$C$34,Supuestos!$C$33,Supuestos!$C$35))</f>
        <v>220000</v>
      </c>
      <c r="H21" s="43" t="n">
        <f aca="false">IF(H14&lt;=Supuestos!$C$32,Supuestos!$C$31,IF(H14&lt;=Supuestos!$C$34,Supuestos!$C$33,Supuestos!$C$35))</f>
        <v>220000</v>
      </c>
      <c r="I21" s="43" t="n">
        <f aca="false">IF(I14&lt;=Supuestos!$C$32,Supuestos!$C$31,IF(I14&lt;=Supuestos!$C$34,Supuestos!$C$33,Supuestos!$C$35))</f>
        <v>220000</v>
      </c>
      <c r="J21" s="43" t="n">
        <f aca="false">IF(J14&lt;=Supuestos!$C$32,Supuestos!$C$31,IF(J14&lt;=Supuestos!$C$34,Supuestos!$C$33,Supuestos!$C$35))</f>
        <v>220000</v>
      </c>
      <c r="K21" s="43" t="n">
        <f aca="false">IF(K14&lt;=Supuestos!$C$32,Supuestos!$C$31,IF(K14&lt;=Supuestos!$C$34,Supuestos!$C$33,Supuestos!$C$35))</f>
        <v>220000</v>
      </c>
      <c r="L21" s="43" t="n">
        <f aca="false">IF(L14&lt;=Supuestos!$C$32,Supuestos!$C$31,IF(L14&lt;=Supuestos!$C$34,Supuestos!$C$33,Supuestos!$C$35))</f>
        <v>220000</v>
      </c>
      <c r="M21" s="43" t="n">
        <f aca="false">IF(M14&lt;=Supuestos!$C$32,Supuestos!$C$31,IF(M14&lt;=Supuestos!$C$34,Supuestos!$C$33,Supuestos!$C$35))</f>
        <v>220000</v>
      </c>
      <c r="N21" s="43" t="n">
        <f aca="false">IF(N14&lt;=Supuestos!$C$32,Supuestos!$C$31,IF(N14&lt;=Supuestos!$C$34,Supuestos!$C$33,Supuestos!$C$35))</f>
        <v>220000</v>
      </c>
      <c r="O21" s="43" t="n">
        <f aca="false">IF(O14&lt;=Supuestos!$C$32,Supuestos!$C$31,IF(O14&lt;=Supuestos!$C$34,Supuestos!$C$33,Supuestos!$C$35))</f>
        <v>220000</v>
      </c>
      <c r="P21" s="43" t="n">
        <f aca="false">IF(P14&lt;=Supuestos!$C$32,Supuestos!$C$31,IF(P14&lt;=Supuestos!$C$34,Supuestos!$C$33,Supuestos!$C$35))</f>
        <v>220000</v>
      </c>
      <c r="Q21" s="43" t="n">
        <f aca="false">IF(Q14&lt;=Supuestos!$C$32,Supuestos!$C$31,IF(Q14&lt;=Supuestos!$C$34,Supuestos!$C$33,Supuestos!$C$35))</f>
        <v>220000</v>
      </c>
      <c r="R21" s="43" t="n">
        <f aca="false">IF(R14&lt;=Supuestos!$C$32,Supuestos!$C$31,IF(R14&lt;=Supuestos!$C$34,Supuestos!$C$33,Supuestos!$C$35))</f>
        <v>220000</v>
      </c>
      <c r="S21" s="43" t="n">
        <f aca="false">IF(S14&lt;=Supuestos!$C$32,Supuestos!$C$31,IF(S14&lt;=Supuestos!$C$34,Supuestos!$C$33,Supuestos!$C$35))</f>
        <v>220000</v>
      </c>
      <c r="T21" s="43" t="n">
        <f aca="false">IF(T14&lt;=Supuestos!$C$32,Supuestos!$C$31,IF(T14&lt;=Supuestos!$C$34,Supuestos!$C$33,Supuestos!$C$35))</f>
        <v>220000</v>
      </c>
      <c r="U21" s="43" t="n">
        <f aca="false">IF(U14&lt;=Supuestos!$C$32,Supuestos!$C$31,IF(U14&lt;=Supuestos!$C$34,Supuestos!$C$33,Supuestos!$C$35))</f>
        <v>220000</v>
      </c>
      <c r="V21" s="43" t="n">
        <f aca="false">IF(V14&lt;=Supuestos!$C$32,Supuestos!$C$31,IF(V14&lt;=Supuestos!$C$34,Supuestos!$C$33,Supuestos!$C$35))</f>
        <v>450000</v>
      </c>
      <c r="W21" s="43" t="n">
        <f aca="false">IF(W14&lt;=Supuestos!$C$32,Supuestos!$C$31,IF(W14&lt;=Supuestos!$C$34,Supuestos!$C$33,Supuestos!$C$35))</f>
        <v>450000</v>
      </c>
      <c r="X21" s="43" t="n">
        <f aca="false">IF(X14&lt;=Supuestos!$C$32,Supuestos!$C$31,IF(X14&lt;=Supuestos!$C$34,Supuestos!$C$33,Supuestos!$C$35))</f>
        <v>450000</v>
      </c>
      <c r="Y21" s="43" t="n">
        <f aca="false">IF(Y14&lt;=Supuestos!$C$32,Supuestos!$C$31,IF(Y14&lt;=Supuestos!$C$34,Supuestos!$C$33,Supuestos!$C$35))</f>
        <v>450000</v>
      </c>
      <c r="Z21" s="43" t="n">
        <f aca="false">IF(Z14&lt;=Supuestos!$C$32,Supuestos!$C$31,IF(Z14&lt;=Supuestos!$C$34,Supuestos!$C$33,Supuestos!$C$35))</f>
        <v>450000</v>
      </c>
      <c r="AA21" s="43" t="n">
        <f aca="false">IF(AA14&lt;=Supuestos!$C$32,Supuestos!$C$31,IF(AA14&lt;=Supuestos!$C$34,Supuestos!$C$33,Supuestos!$C$35))</f>
        <v>450000</v>
      </c>
      <c r="AB21" s="43" t="n">
        <f aca="false">IF(AB14&lt;=Supuestos!$C$32,Supuestos!$C$31,IF(AB14&lt;=Supuestos!$C$34,Supuestos!$C$33,Supuestos!$C$35))</f>
        <v>450000</v>
      </c>
      <c r="AC21" s="43" t="n">
        <f aca="false">IF(AC14&lt;=Supuestos!$C$32,Supuestos!$C$31,IF(AC14&lt;=Supuestos!$C$34,Supuestos!$C$33,Supuestos!$C$35))</f>
        <v>450000</v>
      </c>
      <c r="AD21" s="43" t="n">
        <f aca="false">IF(AD14&lt;=Supuestos!$C$32,Supuestos!$C$31,IF(AD14&lt;=Supuestos!$C$34,Supuestos!$C$33,Supuestos!$C$35))</f>
        <v>450000</v>
      </c>
      <c r="AE21" s="43" t="n">
        <f aca="false">IF(AE14&lt;=Supuestos!$C$32,Supuestos!$C$31,IF(AE14&lt;=Supuestos!$C$34,Supuestos!$C$33,Supuestos!$C$35))</f>
        <v>450000</v>
      </c>
      <c r="AF21" s="43" t="n">
        <f aca="false">IF(AF14&lt;=Supuestos!$C$32,Supuestos!$C$31,IF(AF14&lt;=Supuestos!$C$34,Supuestos!$C$33,Supuestos!$C$35))</f>
        <v>450000</v>
      </c>
      <c r="AG21" s="43" t="n">
        <f aca="false">IF(AG14&lt;=Supuestos!$C$32,Supuestos!$C$31,IF(AG14&lt;=Supuestos!$C$34,Supuestos!$C$33,Supuestos!$C$35))</f>
        <v>450000</v>
      </c>
      <c r="AH21" s="43" t="n">
        <f aca="false">IF(AH14&lt;=Supuestos!$C$32,Supuestos!$C$31,IF(AH14&lt;=Supuestos!$C$34,Supuestos!$C$33,Supuestos!$C$35))</f>
        <v>450000</v>
      </c>
      <c r="AI21" s="43" t="n">
        <f aca="false">IF(AI14&lt;=Supuestos!$C$32,Supuestos!$C$31,IF(AI14&lt;=Supuestos!$C$34,Supuestos!$C$33,Supuestos!$C$35))</f>
        <v>450000</v>
      </c>
      <c r="AJ21" s="43" t="n">
        <f aca="false">IF(AJ14&lt;=Supuestos!$C$32,Supuestos!$C$31,IF(AJ14&lt;=Supuestos!$C$34,Supuestos!$C$33,Supuestos!$C$35))</f>
        <v>800000</v>
      </c>
      <c r="AK21" s="43" t="n">
        <f aca="false">IF(AK14&lt;=Supuestos!$C$32,Supuestos!$C$31,IF(AK14&lt;=Supuestos!$C$34,Supuestos!$C$33,Supuestos!$C$35))</f>
        <v>800000</v>
      </c>
      <c r="AL21" s="43" t="n">
        <f aca="false">IF(AL14&lt;=Supuestos!$C$32,Supuestos!$C$31,IF(AL14&lt;=Supuestos!$C$34,Supuestos!$C$33,Supuestos!$C$35))</f>
        <v>800000</v>
      </c>
      <c r="AM21" s="43" t="n">
        <f aca="false">IF(AM14&lt;=Supuestos!$C$32,Supuestos!$C$31,IF(AM14&lt;=Supuestos!$C$34,Supuestos!$C$33,Supuestos!$C$35))</f>
        <v>800000</v>
      </c>
      <c r="AN21" s="43" t="n">
        <f aca="false">IF(AN14&lt;=Supuestos!$C$32,Supuestos!$C$31,IF(AN14&lt;=Supuestos!$C$34,Supuestos!$C$33,Supuestos!$C$35))</f>
        <v>800000</v>
      </c>
      <c r="AO21" s="43" t="n">
        <f aca="false">IF(AO14&lt;=Supuestos!$C$32,Supuestos!$C$31,IF(AO14&lt;=Supuestos!$C$34,Supuestos!$C$33,Supuestos!$C$35))</f>
        <v>800000</v>
      </c>
      <c r="AP21" s="43" t="n">
        <f aca="false">IF(AP14&lt;=Supuestos!$C$32,Supuestos!$C$31,IF(AP14&lt;=Supuestos!$C$34,Supuestos!$C$33,Supuestos!$C$35))</f>
        <v>800000</v>
      </c>
      <c r="AQ21" s="43" t="n">
        <f aca="false">IF(AQ14&lt;=Supuestos!$C$32,Supuestos!$C$31,IF(AQ14&lt;=Supuestos!$C$34,Supuestos!$C$33,Supuestos!$C$35))</f>
        <v>800000</v>
      </c>
      <c r="AR21" s="43" t="n">
        <f aca="false">IF(AR14&lt;=Supuestos!$C$32,Supuestos!$C$31,IF(AR14&lt;=Supuestos!$C$34,Supuestos!$C$33,Supuestos!$C$35))</f>
        <v>800000</v>
      </c>
      <c r="AS21" s="43" t="n">
        <f aca="false">IF(AS14&lt;=Supuestos!$C$32,Supuestos!$C$31,IF(AS14&lt;=Supuestos!$C$34,Supuestos!$C$33,Supuestos!$C$35))</f>
        <v>800000</v>
      </c>
      <c r="AT21" s="43" t="n">
        <f aca="false">IF(AT14&lt;=Supuestos!$C$32,Supuestos!$C$31,IF(AT14&lt;=Supuestos!$C$34,Supuestos!$C$33,Supuestos!$C$35))</f>
        <v>800000</v>
      </c>
      <c r="AU21" s="43" t="n">
        <f aca="false">IF(AU14&lt;=Supuestos!$C$32,Supuestos!$C$31,IF(AU14&lt;=Supuestos!$C$34,Supuestos!$C$33,Supuestos!$C$35))</f>
        <v>800000</v>
      </c>
      <c r="AV21" s="43" t="n">
        <f aca="false">IF(AV14&lt;=Supuestos!$C$32,Supuestos!$C$31,IF(AV14&lt;=Supuestos!$C$34,Supuestos!$C$33,Supuestos!$C$35))</f>
        <v>800000</v>
      </c>
      <c r="AW21" s="43" t="n">
        <f aca="false">IF(AW14&lt;=Supuestos!$C$32,Supuestos!$C$31,IF(AW14&lt;=Supuestos!$C$34,Supuestos!$C$33,Supuestos!$C$35))</f>
        <v>800000</v>
      </c>
      <c r="AX21" s="43" t="n">
        <f aca="false">IF(AX14&lt;=Supuestos!$C$32,Supuestos!$C$31,IF(AX14&lt;=Supuestos!$C$34,Supuestos!$C$33,Supuestos!$C$35))</f>
        <v>800000</v>
      </c>
      <c r="AY21" s="43" t="n">
        <f aca="false">IF(AY14&lt;=Supuestos!$C$32,Supuestos!$C$31,IF(AY14&lt;=Supuestos!$C$34,Supuestos!$C$33,Supuestos!$C$35))</f>
        <v>800000</v>
      </c>
      <c r="AZ21" s="43" t="n">
        <f aca="false">IF(AZ14&lt;=Supuestos!$C$32,Supuestos!$C$31,IF(AZ14&lt;=Supuestos!$C$34,Supuestos!$C$33,Supuestos!$C$35))</f>
        <v>800000</v>
      </c>
      <c r="BA21" s="43" t="n">
        <f aca="false">IF(BA14&lt;=Supuestos!$C$32,Supuestos!$C$31,IF(BA14&lt;=Supuestos!$C$34,Supuestos!$C$33,Supuestos!$C$35))</f>
        <v>800000</v>
      </c>
      <c r="BB21" s="43" t="n">
        <f aca="false">IF(BB14&lt;=Supuestos!$C$32,Supuestos!$C$31,IF(BB14&lt;=Supuestos!$C$34,Supuestos!$C$33,Supuestos!$C$35))</f>
        <v>800000</v>
      </c>
      <c r="BC21" s="43" t="n">
        <f aca="false">IF(BC14&lt;=Supuestos!$C$32,Supuestos!$C$31,IF(BC14&lt;=Supuestos!$C$34,Supuestos!$C$33,Supuestos!$C$35))</f>
        <v>800000</v>
      </c>
      <c r="BD21" s="43" t="n">
        <f aca="false">IF(BD14&lt;=Supuestos!$C$32,Supuestos!$C$31,IF(BD14&lt;=Supuestos!$C$34,Supuestos!$C$33,Supuestos!$C$35))</f>
        <v>800000</v>
      </c>
      <c r="BE21" s="43" t="n">
        <f aca="false">IF(BE14&lt;=Supuestos!$C$32,Supuestos!$C$31,IF(BE14&lt;=Supuestos!$C$34,Supuestos!$C$33,Supuestos!$C$35))</f>
        <v>800000</v>
      </c>
      <c r="BF21" s="43" t="n">
        <f aca="false">IF(BF14&lt;=Supuestos!$C$32,Supuestos!$C$31,IF(BF14&lt;=Supuestos!$C$34,Supuestos!$C$33,Supuestos!$C$35))</f>
        <v>800000</v>
      </c>
      <c r="BG21" s="43" t="n">
        <f aca="false">IF(BG14&lt;=Supuestos!$C$32,Supuestos!$C$31,IF(BG14&lt;=Supuestos!$C$34,Supuestos!$C$33,Supuestos!$C$35))</f>
        <v>800000</v>
      </c>
      <c r="BH21" s="43" t="n">
        <f aca="false">IF(BH14&lt;=Supuestos!$C$32,Supuestos!$C$31,IF(BH14&lt;=Supuestos!$C$34,Supuestos!$C$33,Supuestos!$C$35))</f>
        <v>800000</v>
      </c>
      <c r="BI21" s="43" t="n">
        <f aca="false">IF(BI14&lt;=Supuestos!$C$32,Supuestos!$C$31,IF(BI14&lt;=Supuestos!$C$34,Supuestos!$C$33,Supuestos!$C$35))</f>
        <v>800000</v>
      </c>
      <c r="BJ21" s="43" t="n">
        <f aca="false">IF(BJ14&lt;=Supuestos!$C$32,Supuestos!$C$31,IF(BJ14&lt;=Supuestos!$C$34,Supuestos!$C$33,Supuestos!$C$35))</f>
        <v>800000</v>
      </c>
    </row>
    <row r="22" customFormat="false" ht="15" hidden="false" customHeight="true" outlineLevel="0" collapsed="false">
      <c r="A22" s="16" t="s">
        <v>250</v>
      </c>
      <c r="B22" s="7" t="s">
        <v>146</v>
      </c>
      <c r="C22" s="35" t="n">
        <f aca="false">SUM(C19:C21)</f>
        <v>250575.265</v>
      </c>
      <c r="D22" s="35" t="n">
        <f aca="false">SUM(D19:D21)</f>
        <v>265881.25</v>
      </c>
      <c r="E22" s="35" t="n">
        <f aca="false">SUM(E19:E21)</f>
        <v>296456.515</v>
      </c>
      <c r="F22" s="35" t="n">
        <f aca="false">SUM(F19:F21)</f>
        <v>327068.485</v>
      </c>
      <c r="G22" s="35" t="n">
        <f aca="false">SUM(G19:G21)</f>
        <v>357643.75</v>
      </c>
      <c r="H22" s="35" t="n">
        <f aca="false">SUM(H19:H21)</f>
        <v>388219.015</v>
      </c>
      <c r="I22" s="35" t="n">
        <f aca="false">SUM(I19:I21)</f>
        <v>418830.985</v>
      </c>
      <c r="J22" s="35" t="n">
        <f aca="false">SUM(J19:J21)</f>
        <v>464712.235</v>
      </c>
      <c r="K22" s="35" t="n">
        <f aca="false">SUM(K19:K21)</f>
        <v>495287.5</v>
      </c>
      <c r="L22" s="35" t="n">
        <f aca="false">SUM(L19:L21)</f>
        <v>525862.765</v>
      </c>
      <c r="M22" s="35" t="n">
        <f aca="false">SUM(M19:M21)</f>
        <v>556474.735</v>
      </c>
      <c r="N22" s="35" t="n">
        <f aca="false">SUM(N19:N21)</f>
        <v>587050</v>
      </c>
      <c r="O22" s="35" t="n">
        <f aca="false">SUM(O19:O21)</f>
        <v>658930.625</v>
      </c>
      <c r="P22" s="35" t="n">
        <f aca="false">SUM(P19:P21)</f>
        <v>712458.75</v>
      </c>
      <c r="Q22" s="35" t="n">
        <f aca="false">SUM(Q19:Q21)</f>
        <v>765986.875</v>
      </c>
      <c r="R22" s="35" t="n">
        <f aca="false">SUM(R19:R21)</f>
        <v>819515</v>
      </c>
      <c r="S22" s="35" t="n">
        <f aca="false">SUM(S19:S21)</f>
        <v>873043.125</v>
      </c>
      <c r="T22" s="35" t="n">
        <f aca="false">SUM(T19:T21)</f>
        <v>926571.25</v>
      </c>
      <c r="U22" s="35" t="n">
        <f aca="false">SUM(U19:U21)</f>
        <v>980099.375</v>
      </c>
      <c r="V22" s="35" t="n">
        <f aca="false">SUM(V19:V21)</f>
        <v>1263627.5</v>
      </c>
      <c r="W22" s="35" t="n">
        <f aca="false">SUM(W19:W21)</f>
        <v>1317155.625</v>
      </c>
      <c r="X22" s="35" t="n">
        <f aca="false">SUM(X19:X21)</f>
        <v>1370683.75</v>
      </c>
      <c r="Y22" s="35" t="n">
        <f aca="false">SUM(Y19:Y21)</f>
        <v>1424211.875</v>
      </c>
      <c r="Z22" s="35" t="n">
        <f aca="false">SUM(Z19:Z21)</f>
        <v>1477740</v>
      </c>
      <c r="AA22" s="35" t="n">
        <f aca="false">SUM(AA19:AA21)</f>
        <v>1619054.25</v>
      </c>
      <c r="AB22" s="35" t="n">
        <f aca="false">SUM(AB19:AB21)</f>
        <v>1708981.5</v>
      </c>
      <c r="AC22" s="35" t="n">
        <f aca="false">SUM(AC19:AC21)</f>
        <v>1798908.75</v>
      </c>
      <c r="AD22" s="35" t="n">
        <f aca="false">SUM(AD19:AD21)</f>
        <v>1888836</v>
      </c>
      <c r="AE22" s="35" t="n">
        <f aca="false">SUM(AE19:AE21)</f>
        <v>1978763.25</v>
      </c>
      <c r="AF22" s="35" t="n">
        <f aca="false">SUM(AF19:AF21)</f>
        <v>2068690.5</v>
      </c>
      <c r="AG22" s="35" t="n">
        <f aca="false">SUM(AG19:AG21)</f>
        <v>2158617.75</v>
      </c>
      <c r="AH22" s="35" t="n">
        <f aca="false">SUM(AH19:AH21)</f>
        <v>2248545</v>
      </c>
      <c r="AI22" s="35" t="n">
        <f aca="false">SUM(AI19:AI21)</f>
        <v>2338472.25</v>
      </c>
      <c r="AJ22" s="35" t="n">
        <f aca="false">SUM(AJ19:AJ21)</f>
        <v>2778399.5</v>
      </c>
      <c r="AK22" s="35" t="n">
        <f aca="false">SUM(AK19:AK21)</f>
        <v>2868326.75</v>
      </c>
      <c r="AL22" s="35" t="n">
        <f aca="false">SUM(AL19:AL21)</f>
        <v>2958254</v>
      </c>
      <c r="AM22" s="35" t="n">
        <f aca="false">SUM(AM19:AM21)</f>
        <v>3160590.3125</v>
      </c>
      <c r="AN22" s="35" t="n">
        <f aca="false">SUM(AN19:AN21)</f>
        <v>3255013.925</v>
      </c>
      <c r="AO22" s="35" t="n">
        <f aca="false">SUM(AO19:AO21)</f>
        <v>3349437.5375</v>
      </c>
      <c r="AP22" s="35" t="n">
        <f aca="false">SUM(AP19:AP21)</f>
        <v>3443861.15</v>
      </c>
      <c r="AQ22" s="35" t="n">
        <f aca="false">SUM(AQ19:AQ21)</f>
        <v>3538284.7625</v>
      </c>
      <c r="AR22" s="35" t="n">
        <f aca="false">SUM(AR19:AR21)</f>
        <v>3632708.375</v>
      </c>
      <c r="AS22" s="35" t="n">
        <f aca="false">SUM(AS19:AS21)</f>
        <v>3727131.9875</v>
      </c>
      <c r="AT22" s="35" t="n">
        <f aca="false">SUM(AT19:AT21)</f>
        <v>3821555.6</v>
      </c>
      <c r="AU22" s="35" t="n">
        <f aca="false">SUM(AU19:AU21)</f>
        <v>3915979.2125</v>
      </c>
      <c r="AV22" s="35" t="n">
        <f aca="false">SUM(AV19:AV21)</f>
        <v>4010402.825</v>
      </c>
      <c r="AW22" s="35" t="n">
        <f aca="false">SUM(AW19:AW21)</f>
        <v>4104826.4375</v>
      </c>
      <c r="AX22" s="35" t="n">
        <f aca="false">SUM(AX19:AX21)</f>
        <v>4199250.05</v>
      </c>
      <c r="AY22" s="35" t="n">
        <f aca="false">SUM(AY19:AY21)</f>
        <v>4468357.345625</v>
      </c>
      <c r="AZ22" s="35" t="n">
        <f aca="false">SUM(AZ19:AZ21)</f>
        <v>4567502.13875</v>
      </c>
      <c r="BA22" s="35" t="n">
        <f aca="false">SUM(BA19:BA21)</f>
        <v>4666646.931875</v>
      </c>
      <c r="BB22" s="35" t="n">
        <f aca="false">SUM(BB19:BB21)</f>
        <v>4765791.725</v>
      </c>
      <c r="BC22" s="35" t="n">
        <f aca="false">SUM(BC19:BC21)</f>
        <v>4864936.518125</v>
      </c>
      <c r="BD22" s="35" t="n">
        <f aca="false">SUM(BD19:BD21)</f>
        <v>4964081.31125</v>
      </c>
      <c r="BE22" s="35" t="n">
        <f aca="false">SUM(BE19:BE21)</f>
        <v>5063226.104375</v>
      </c>
      <c r="BF22" s="35" t="n">
        <f aca="false">SUM(BF19:BF21)</f>
        <v>5162370.8975</v>
      </c>
      <c r="BG22" s="35" t="n">
        <f aca="false">SUM(BG19:BG21)</f>
        <v>5261515.690625</v>
      </c>
      <c r="BH22" s="35" t="n">
        <f aca="false">SUM(BH19:BH21)</f>
        <v>5360660.48375</v>
      </c>
      <c r="BI22" s="35" t="n">
        <f aca="false">SUM(BI19:BI21)</f>
        <v>5459805.276875</v>
      </c>
      <c r="BJ22" s="35" t="n">
        <f aca="false">SUM(BJ19:BJ21)</f>
        <v>5558950.07</v>
      </c>
    </row>
    <row r="23" customFormat="false" ht="15" hidden="false" customHeight="true" outlineLevel="0" collapsed="false">
      <c r="A23" s="16" t="s">
        <v>194</v>
      </c>
      <c r="B23" s="7" t="s">
        <v>146</v>
      </c>
      <c r="C23" s="35" t="n">
        <f aca="false">C18-C22</f>
        <v>247975.235</v>
      </c>
      <c r="D23" s="35" t="n">
        <f aca="false">D18-D22</f>
        <v>482243.75</v>
      </c>
      <c r="E23" s="35" t="n">
        <f aca="false">E18-E22</f>
        <v>950218.985</v>
      </c>
      <c r="F23" s="35" t="n">
        <f aca="false">F18-F22</f>
        <v>1418756.015</v>
      </c>
      <c r="G23" s="35" t="n">
        <f aca="false">G18-G22</f>
        <v>1886731.25</v>
      </c>
      <c r="H23" s="35" t="n">
        <f aca="false">H18-H22</f>
        <v>2354706.485</v>
      </c>
      <c r="I23" s="35" t="n">
        <f aca="false">I18-I22</f>
        <v>2823243.515</v>
      </c>
      <c r="J23" s="35" t="n">
        <f aca="false">J18-J22</f>
        <v>3525487.265</v>
      </c>
      <c r="K23" s="35" t="n">
        <f aca="false">K18-K22</f>
        <v>3993462.5</v>
      </c>
      <c r="L23" s="35" t="n">
        <f aca="false">L18-L22</f>
        <v>4461437.735</v>
      </c>
      <c r="M23" s="35" t="n">
        <f aca="false">M18-M22</f>
        <v>4929974.765</v>
      </c>
      <c r="N23" s="35" t="n">
        <f aca="false">N18-N22</f>
        <v>5397950</v>
      </c>
      <c r="O23" s="35" t="n">
        <f aca="false">O18-O22</f>
        <v>6498131.875</v>
      </c>
      <c r="P23" s="35" t="n">
        <f aca="false">P18-P22</f>
        <v>7317416.25</v>
      </c>
      <c r="Q23" s="35" t="n">
        <f aca="false">Q18-Q22</f>
        <v>8136700.625</v>
      </c>
      <c r="R23" s="35" t="n">
        <f aca="false">R18-R22</f>
        <v>8955985</v>
      </c>
      <c r="S23" s="35" t="n">
        <f aca="false">S18-S22</f>
        <v>9775269.375</v>
      </c>
      <c r="T23" s="35" t="n">
        <f aca="false">T18-T22</f>
        <v>10594553.75</v>
      </c>
      <c r="U23" s="35" t="n">
        <f aca="false">U18-U22</f>
        <v>11413838.125</v>
      </c>
      <c r="V23" s="35" t="n">
        <f aca="false">V18-V22</f>
        <v>12003122.5</v>
      </c>
      <c r="W23" s="35" t="n">
        <f aca="false">W18-W22</f>
        <v>12822406.875</v>
      </c>
      <c r="X23" s="35" t="n">
        <f aca="false">X18-X22</f>
        <v>13641691.25</v>
      </c>
      <c r="Y23" s="35" t="n">
        <f aca="false">Y18-Y22</f>
        <v>14460975.625</v>
      </c>
      <c r="Z23" s="35" t="n">
        <f aca="false">Z18-Z22</f>
        <v>15280260</v>
      </c>
      <c r="AA23" s="35" t="n">
        <f aca="false">AA18-AA22</f>
        <v>17443170.75</v>
      </c>
      <c r="AB23" s="35" t="n">
        <f aca="false">AB18-AB22</f>
        <v>18819568.5</v>
      </c>
      <c r="AC23" s="35" t="n">
        <f aca="false">AC18-AC22</f>
        <v>20195966.25</v>
      </c>
      <c r="AD23" s="35" t="n">
        <f aca="false">AD18-AD22</f>
        <v>21572364</v>
      </c>
      <c r="AE23" s="35" t="n">
        <f aca="false">AE18-AE22</f>
        <v>22948761.75</v>
      </c>
      <c r="AF23" s="35" t="n">
        <f aca="false">AF18-AF22</f>
        <v>24325159.5</v>
      </c>
      <c r="AG23" s="35" t="n">
        <f aca="false">AG18-AG22</f>
        <v>25701557.25</v>
      </c>
      <c r="AH23" s="35" t="n">
        <f aca="false">AH18-AH22</f>
        <v>27077955</v>
      </c>
      <c r="AI23" s="35" t="n">
        <f aca="false">AI18-AI22</f>
        <v>28454352.75</v>
      </c>
      <c r="AJ23" s="35" t="n">
        <f aca="false">AJ18-AJ22</f>
        <v>29480750.5</v>
      </c>
      <c r="AK23" s="35" t="n">
        <f aca="false">AK18-AK22</f>
        <v>30857148.25</v>
      </c>
      <c r="AL23" s="35" t="n">
        <f aca="false">AL18-AL22</f>
        <v>32233546</v>
      </c>
      <c r="AM23" s="35" t="n">
        <f aca="false">AM18-AM22</f>
        <v>35330440.9375</v>
      </c>
      <c r="AN23" s="35" t="n">
        <f aca="false">AN18-AN22</f>
        <v>36775658.575</v>
      </c>
      <c r="AO23" s="35" t="n">
        <f aca="false">AO18-AO22</f>
        <v>38220876.2125</v>
      </c>
      <c r="AP23" s="35" t="n">
        <f aca="false">AP18-AP22</f>
        <v>39666093.85</v>
      </c>
      <c r="AQ23" s="35" t="n">
        <f aca="false">AQ18-AQ22</f>
        <v>41111311.4875</v>
      </c>
      <c r="AR23" s="35" t="n">
        <f aca="false">AR18-AR22</f>
        <v>42556529.125</v>
      </c>
      <c r="AS23" s="35" t="n">
        <f aca="false">AS18-AS22</f>
        <v>44001746.7625</v>
      </c>
      <c r="AT23" s="35" t="n">
        <f aca="false">AT18-AT22</f>
        <v>45446964.4</v>
      </c>
      <c r="AU23" s="35" t="n">
        <f aca="false">AU18-AU22</f>
        <v>46892182.0375</v>
      </c>
      <c r="AV23" s="35" t="n">
        <f aca="false">AV18-AV22</f>
        <v>48337399.675</v>
      </c>
      <c r="AW23" s="35" t="n">
        <f aca="false">AW18-AW22</f>
        <v>49782617.3125</v>
      </c>
      <c r="AX23" s="35" t="n">
        <f aca="false">AX18-AX22</f>
        <v>51227834.95</v>
      </c>
      <c r="AY23" s="35" t="n">
        <f aca="false">AY18-AY22</f>
        <v>55346705.216875</v>
      </c>
      <c r="AZ23" s="35" t="n">
        <f aca="false">AZ18-AZ22</f>
        <v>56864183.73625</v>
      </c>
      <c r="BA23" s="35" t="n">
        <f aca="false">BA18-BA22</f>
        <v>58381662.255625</v>
      </c>
      <c r="BB23" s="35" t="n">
        <f aca="false">BB18-BB22</f>
        <v>59899140.775</v>
      </c>
      <c r="BC23" s="35" t="n">
        <f aca="false">BC18-BC22</f>
        <v>61416619.294375</v>
      </c>
      <c r="BD23" s="35" t="n">
        <f aca="false">BD18-BD22</f>
        <v>62934097.81375</v>
      </c>
      <c r="BE23" s="35" t="n">
        <f aca="false">BE18-BE22</f>
        <v>64451576.333125</v>
      </c>
      <c r="BF23" s="35" t="n">
        <f aca="false">BF18-BF22</f>
        <v>65969054.8525</v>
      </c>
      <c r="BG23" s="35" t="n">
        <f aca="false">BG18-BG22</f>
        <v>67486533.371875</v>
      </c>
      <c r="BH23" s="35" t="n">
        <f aca="false">BH18-BH22</f>
        <v>69004011.89125</v>
      </c>
      <c r="BI23" s="35" t="n">
        <f aca="false">BI18-BI22</f>
        <v>70521490.410625</v>
      </c>
      <c r="BJ23" s="35" t="n">
        <f aca="false">BJ18-BJ22</f>
        <v>72038968.93</v>
      </c>
    </row>
    <row r="25" customFormat="false" ht="15" hidden="false" customHeight="true" outlineLevel="0" collapsed="false">
      <c r="A25" s="28" t="s">
        <v>251</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row>
    <row r="26" customFormat="false" ht="15" hidden="false" customHeight="true" outlineLevel="0" collapsed="false">
      <c r="A26" s="10" t="s">
        <v>252</v>
      </c>
      <c r="B26" s="7" t="s">
        <v>115</v>
      </c>
      <c r="C26" s="44" t="n">
        <f aca="false">C14*Supuestos!$C$58/60</f>
        <v>4.165</v>
      </c>
      <c r="D26" s="44" t="n">
        <f aca="false">D14*Supuestos!$C$58/60</f>
        <v>6.25</v>
      </c>
      <c r="E26" s="44" t="n">
        <f aca="false">E14*Supuestos!$C$58/60</f>
        <v>10.415</v>
      </c>
      <c r="F26" s="44" t="n">
        <f aca="false">F14*Supuestos!$C$58/60</f>
        <v>14.585</v>
      </c>
      <c r="G26" s="44" t="n">
        <f aca="false">G14*Supuestos!$C$58/60</f>
        <v>18.75</v>
      </c>
      <c r="H26" s="44" t="n">
        <f aca="false">H14*Supuestos!$C$58/60</f>
        <v>22.915</v>
      </c>
      <c r="I26" s="44" t="n">
        <f aca="false">I14*Supuestos!$C$58/60</f>
        <v>27.085</v>
      </c>
      <c r="J26" s="44" t="n">
        <f aca="false">J14*Supuestos!$C$58/60</f>
        <v>33.335</v>
      </c>
      <c r="K26" s="44" t="n">
        <f aca="false">K14*Supuestos!$C$58/60</f>
        <v>37.5</v>
      </c>
      <c r="L26" s="44" t="n">
        <f aca="false">L14*Supuestos!$C$58/60</f>
        <v>41.665</v>
      </c>
      <c r="M26" s="44" t="n">
        <f aca="false">M14*Supuestos!$C$58/60</f>
        <v>45.835</v>
      </c>
      <c r="N26" s="44" t="n">
        <f aca="false">N14*Supuestos!$C$58/60</f>
        <v>50</v>
      </c>
      <c r="O26" s="44" t="n">
        <f aca="false">O14*Supuestos!$C$58/60</f>
        <v>56.9444444444445</v>
      </c>
      <c r="P26" s="44" t="n">
        <f aca="false">P14*Supuestos!$C$58/60</f>
        <v>63.8888888888889</v>
      </c>
      <c r="Q26" s="44" t="n">
        <f aca="false">Q14*Supuestos!$C$58/60</f>
        <v>70.8333333333333</v>
      </c>
      <c r="R26" s="44" t="n">
        <f aca="false">R14*Supuestos!$C$58/60</f>
        <v>77.7777777777778</v>
      </c>
      <c r="S26" s="44" t="n">
        <f aca="false">S14*Supuestos!$C$58/60</f>
        <v>84.7222222222222</v>
      </c>
      <c r="T26" s="44" t="n">
        <f aca="false">T14*Supuestos!$C$58/60</f>
        <v>91.6666666666667</v>
      </c>
      <c r="U26" s="44" t="n">
        <f aca="false">U14*Supuestos!$C$58/60</f>
        <v>98.6111111111111</v>
      </c>
      <c r="V26" s="44" t="n">
        <f aca="false">V14*Supuestos!$C$58/60</f>
        <v>105.555555555556</v>
      </c>
      <c r="W26" s="44" t="n">
        <f aca="false">W14*Supuestos!$C$58/60</f>
        <v>112.5</v>
      </c>
      <c r="X26" s="44" t="n">
        <f aca="false">X14*Supuestos!$C$58/60</f>
        <v>119.444444444444</v>
      </c>
      <c r="Y26" s="44" t="n">
        <f aca="false">Y14*Supuestos!$C$58/60</f>
        <v>126.388888888889</v>
      </c>
      <c r="Z26" s="44" t="n">
        <f aca="false">Z14*Supuestos!$C$58/60</f>
        <v>133.333333333333</v>
      </c>
      <c r="AA26" s="44" t="n">
        <f aca="false">AA14*Supuestos!$C$58/60</f>
        <v>144.444444444444</v>
      </c>
      <c r="AB26" s="44" t="n">
        <f aca="false">AB14*Supuestos!$C$58/60</f>
        <v>155.555555555556</v>
      </c>
      <c r="AC26" s="44" t="n">
        <f aca="false">AC14*Supuestos!$C$58/60</f>
        <v>166.666666666667</v>
      </c>
      <c r="AD26" s="44" t="n">
        <f aca="false">AD14*Supuestos!$C$58/60</f>
        <v>177.777777777778</v>
      </c>
      <c r="AE26" s="44" t="n">
        <f aca="false">AE14*Supuestos!$C$58/60</f>
        <v>188.888888888889</v>
      </c>
      <c r="AF26" s="44" t="n">
        <f aca="false">AF14*Supuestos!$C$58/60</f>
        <v>200</v>
      </c>
      <c r="AG26" s="44" t="n">
        <f aca="false">AG14*Supuestos!$C$58/60</f>
        <v>211.111111111111</v>
      </c>
      <c r="AH26" s="44" t="n">
        <f aca="false">AH14*Supuestos!$C$58/60</f>
        <v>222.222222222222</v>
      </c>
      <c r="AI26" s="44" t="n">
        <f aca="false">AI14*Supuestos!$C$58/60</f>
        <v>233.333333333333</v>
      </c>
      <c r="AJ26" s="44" t="n">
        <f aca="false">AJ14*Supuestos!$C$58/60</f>
        <v>244.444444444444</v>
      </c>
      <c r="AK26" s="44" t="n">
        <f aca="false">AK14*Supuestos!$C$58/60</f>
        <v>255.555555555556</v>
      </c>
      <c r="AL26" s="44" t="n">
        <f aca="false">AL14*Supuestos!$C$58/60</f>
        <v>266.666666666667</v>
      </c>
      <c r="AM26" s="44" t="n">
        <f aca="false">AM14*Supuestos!$C$58/60</f>
        <v>277.777777777778</v>
      </c>
      <c r="AN26" s="44" t="n">
        <f aca="false">AN14*Supuestos!$C$58/60</f>
        <v>288.888888888889</v>
      </c>
      <c r="AO26" s="44" t="n">
        <f aca="false">AO14*Supuestos!$C$58/60</f>
        <v>300</v>
      </c>
      <c r="AP26" s="44" t="n">
        <f aca="false">AP14*Supuestos!$C$58/60</f>
        <v>311.111111111111</v>
      </c>
      <c r="AQ26" s="44" t="n">
        <f aca="false">AQ14*Supuestos!$C$58/60</f>
        <v>322.222222222222</v>
      </c>
      <c r="AR26" s="44" t="n">
        <f aca="false">AR14*Supuestos!$C$58/60</f>
        <v>333.333333333333</v>
      </c>
      <c r="AS26" s="44" t="n">
        <f aca="false">AS14*Supuestos!$C$58/60</f>
        <v>344.444444444444</v>
      </c>
      <c r="AT26" s="44" t="n">
        <f aca="false">AT14*Supuestos!$C$58/60</f>
        <v>355.555555555556</v>
      </c>
      <c r="AU26" s="44" t="n">
        <f aca="false">AU14*Supuestos!$C$58/60</f>
        <v>366.666666666667</v>
      </c>
      <c r="AV26" s="44" t="n">
        <f aca="false">AV14*Supuestos!$C$58/60</f>
        <v>377.777777777778</v>
      </c>
      <c r="AW26" s="44" t="n">
        <f aca="false">AW14*Supuestos!$C$58/60</f>
        <v>388.888888888889</v>
      </c>
      <c r="AX26" s="44" t="n">
        <f aca="false">AX14*Supuestos!$C$58/60</f>
        <v>400</v>
      </c>
      <c r="AY26" s="44" t="n">
        <f aca="false">AY14*Supuestos!$C$58/60</f>
        <v>411.111111111111</v>
      </c>
      <c r="AZ26" s="44" t="n">
        <f aca="false">AZ14*Supuestos!$C$58/60</f>
        <v>422.222222222222</v>
      </c>
      <c r="BA26" s="44" t="n">
        <f aca="false">BA14*Supuestos!$C$58/60</f>
        <v>433.333333333333</v>
      </c>
      <c r="BB26" s="44" t="n">
        <f aca="false">BB14*Supuestos!$C$58/60</f>
        <v>444.444444444444</v>
      </c>
      <c r="BC26" s="44" t="n">
        <f aca="false">BC14*Supuestos!$C$58/60</f>
        <v>455.555555555556</v>
      </c>
      <c r="BD26" s="44" t="n">
        <f aca="false">BD14*Supuestos!$C$58/60</f>
        <v>466.666666666667</v>
      </c>
      <c r="BE26" s="44" t="n">
        <f aca="false">BE14*Supuestos!$C$58/60</f>
        <v>477.777777777778</v>
      </c>
      <c r="BF26" s="44" t="n">
        <f aca="false">BF14*Supuestos!$C$58/60</f>
        <v>488.888888888889</v>
      </c>
      <c r="BG26" s="44" t="n">
        <f aca="false">BG14*Supuestos!$C$58/60</f>
        <v>500</v>
      </c>
      <c r="BH26" s="44" t="n">
        <f aca="false">BH14*Supuestos!$C$58/60</f>
        <v>511.111111111111</v>
      </c>
      <c r="BI26" s="44" t="n">
        <f aca="false">BI14*Supuestos!$C$58/60</f>
        <v>522.222222222222</v>
      </c>
      <c r="BJ26" s="44" t="n">
        <f aca="false">BJ14*Supuestos!$C$58/60</f>
        <v>533.333333333333</v>
      </c>
    </row>
    <row r="27" customFormat="false" ht="15" hidden="false" customHeight="true" outlineLevel="0" collapsed="false">
      <c r="A27" s="10" t="s">
        <v>253</v>
      </c>
      <c r="B27" s="7" t="s">
        <v>115</v>
      </c>
      <c r="C27" s="44" t="n">
        <f aca="false">C13*Supuestos!$C$59</f>
        <v>21.2415</v>
      </c>
      <c r="D27" s="44" t="n">
        <f aca="false">D13*Supuestos!$C$59</f>
        <v>11.05833</v>
      </c>
      <c r="E27" s="44" t="n">
        <f aca="false">E13*Supuestos!$C$59</f>
        <v>21.879</v>
      </c>
      <c r="F27" s="44" t="n">
        <f aca="false">F13*Supuestos!$C$59</f>
        <v>22.32933</v>
      </c>
      <c r="G27" s="44" t="n">
        <f aca="false">G13*Supuestos!$C$59</f>
        <v>22.72917</v>
      </c>
      <c r="H27" s="44" t="n">
        <f aca="false">H13*Supuestos!$C$59</f>
        <v>23.154</v>
      </c>
      <c r="I27" s="44" t="n">
        <f aca="false">I13*Supuestos!$C$59</f>
        <v>23.60433</v>
      </c>
      <c r="J27" s="44" t="n">
        <f aca="false">J13*Supuestos!$C$59</f>
        <v>34.63767</v>
      </c>
      <c r="K27" s="44" t="n">
        <f aca="false">K13*Supuestos!$C$59</f>
        <v>24.64167</v>
      </c>
      <c r="L27" s="44" t="n">
        <f aca="false">L13*Supuestos!$C$59</f>
        <v>25.0665</v>
      </c>
      <c r="M27" s="44" t="n">
        <f aca="false">M13*Supuestos!$C$59</f>
        <v>25.51683</v>
      </c>
      <c r="N27" s="44" t="n">
        <f aca="false">N13*Supuestos!$C$59</f>
        <v>25.91667</v>
      </c>
      <c r="O27" s="44" t="n">
        <f aca="false">O13*Supuestos!$C$59</f>
        <v>40.5166666666667</v>
      </c>
      <c r="P27" s="44" t="n">
        <f aca="false">P13*Supuestos!$C$59</f>
        <v>41.225</v>
      </c>
      <c r="Q27" s="44" t="n">
        <f aca="false">Q13*Supuestos!$C$59</f>
        <v>41.9333333333334</v>
      </c>
      <c r="R27" s="44" t="n">
        <f aca="false">R13*Supuestos!$C$59</f>
        <v>42.6416666666666</v>
      </c>
      <c r="S27" s="44" t="n">
        <f aca="false">S13*Supuestos!$C$59</f>
        <v>43.35</v>
      </c>
      <c r="T27" s="44" t="n">
        <f aca="false">T13*Supuestos!$C$59</f>
        <v>44.0583333333333</v>
      </c>
      <c r="U27" s="44" t="n">
        <f aca="false">U13*Supuestos!$C$59</f>
        <v>44.7666666666667</v>
      </c>
      <c r="V27" s="44" t="n">
        <f aca="false">V13*Supuestos!$C$59</f>
        <v>45.4749999999999</v>
      </c>
      <c r="W27" s="44" t="n">
        <f aca="false">W13*Supuestos!$C$59</f>
        <v>46.1833333333334</v>
      </c>
      <c r="X27" s="44" t="n">
        <f aca="false">X13*Supuestos!$C$59</f>
        <v>46.8916666666667</v>
      </c>
      <c r="Y27" s="44" t="n">
        <f aca="false">Y13*Supuestos!$C$59</f>
        <v>47.5999999999999</v>
      </c>
      <c r="Z27" s="44" t="n">
        <f aca="false">Z13*Supuestos!$C$59</f>
        <v>48.3083333333334</v>
      </c>
      <c r="AA27" s="44" t="n">
        <f aca="false">AA13*Supuestos!$C$59</f>
        <v>70.2666666666666</v>
      </c>
      <c r="AB27" s="44" t="n">
        <f aca="false">AB13*Supuestos!$C$59</f>
        <v>71.4000000000001</v>
      </c>
      <c r="AC27" s="44" t="n">
        <f aca="false">AC13*Supuestos!$C$59</f>
        <v>72.5333333333333</v>
      </c>
      <c r="AD27" s="44" t="n">
        <f aca="false">AD13*Supuestos!$C$59</f>
        <v>73.6666666666667</v>
      </c>
      <c r="AE27" s="44" t="n">
        <f aca="false">AE13*Supuestos!$C$59</f>
        <v>74.7999999999998</v>
      </c>
      <c r="AF27" s="44" t="n">
        <f aca="false">AF13*Supuestos!$C$59</f>
        <v>75.9333333333335</v>
      </c>
      <c r="AG27" s="44" t="n">
        <f aca="false">AG13*Supuestos!$C$59</f>
        <v>77.0666666666667</v>
      </c>
      <c r="AH27" s="44" t="n">
        <f aca="false">AH13*Supuestos!$C$59</f>
        <v>78.2</v>
      </c>
      <c r="AI27" s="44" t="n">
        <f aca="false">AI13*Supuestos!$C$59</f>
        <v>79.3333333333333</v>
      </c>
      <c r="AJ27" s="44" t="n">
        <f aca="false">AJ13*Supuestos!$C$59</f>
        <v>80.4666666666665</v>
      </c>
      <c r="AK27" s="44" t="n">
        <f aca="false">AK13*Supuestos!$C$59</f>
        <v>81.6000000000002</v>
      </c>
      <c r="AL27" s="44" t="n">
        <f aca="false">AL13*Supuestos!$C$59</f>
        <v>82.7333333333333</v>
      </c>
      <c r="AM27" s="44" t="n">
        <f aca="false">AM13*Supuestos!$C$59</f>
        <v>83.8666666666667</v>
      </c>
      <c r="AN27" s="44" t="n">
        <f aca="false">AN13*Supuestos!$C$59</f>
        <v>84.9999999999998</v>
      </c>
      <c r="AO27" s="44" t="n">
        <f aca="false">AO13*Supuestos!$C$59</f>
        <v>86.1333333333335</v>
      </c>
      <c r="AP27" s="44" t="n">
        <f aca="false">AP13*Supuestos!$C$59</f>
        <v>87.2666666666667</v>
      </c>
      <c r="AQ27" s="44" t="n">
        <f aca="false">AQ13*Supuestos!$C$59</f>
        <v>88.3999999999998</v>
      </c>
      <c r="AR27" s="44" t="n">
        <f aca="false">AR13*Supuestos!$C$59</f>
        <v>89.5333333333335</v>
      </c>
      <c r="AS27" s="44" t="n">
        <f aca="false">AS13*Supuestos!$C$59</f>
        <v>90.6666666666665</v>
      </c>
      <c r="AT27" s="44" t="n">
        <f aca="false">AT13*Supuestos!$C$59</f>
        <v>91.8000000000002</v>
      </c>
      <c r="AU27" s="44" t="n">
        <f aca="false">AU13*Supuestos!$C$59</f>
        <v>92.9333333333331</v>
      </c>
      <c r="AV27" s="44" t="n">
        <f aca="false">AV13*Supuestos!$C$59</f>
        <v>94.0666666666665</v>
      </c>
      <c r="AW27" s="44" t="n">
        <f aca="false">AW13*Supuestos!$C$59</f>
        <v>95.2000000000004</v>
      </c>
      <c r="AX27" s="44" t="n">
        <f aca="false">AX13*Supuestos!$C$59</f>
        <v>96.3333333333331</v>
      </c>
      <c r="AY27" s="44" t="n">
        <f aca="false">AY13*Supuestos!$C$59</f>
        <v>97.4666666666665</v>
      </c>
      <c r="AZ27" s="44" t="n">
        <f aca="false">AZ13*Supuestos!$C$59</f>
        <v>98.6000000000004</v>
      </c>
      <c r="BA27" s="44" t="n">
        <f aca="false">BA13*Supuestos!$C$59</f>
        <v>99.7333333333331</v>
      </c>
      <c r="BB27" s="44" t="n">
        <f aca="false">BB13*Supuestos!$C$59</f>
        <v>100.866666666667</v>
      </c>
      <c r="BC27" s="44" t="n">
        <f aca="false">BC13*Supuestos!$C$59</f>
        <v>102</v>
      </c>
      <c r="BD27" s="44" t="n">
        <f aca="false">BD13*Supuestos!$C$59</f>
        <v>103.133333333333</v>
      </c>
      <c r="BE27" s="44" t="n">
        <f aca="false">BE13*Supuestos!$C$59</f>
        <v>104.266666666667</v>
      </c>
      <c r="BF27" s="44" t="n">
        <f aca="false">BF13*Supuestos!$C$59</f>
        <v>105.4</v>
      </c>
      <c r="BG27" s="44" t="n">
        <f aca="false">BG13*Supuestos!$C$59</f>
        <v>106.533333333333</v>
      </c>
      <c r="BH27" s="44" t="n">
        <f aca="false">BH13*Supuestos!$C$59</f>
        <v>107.666666666667</v>
      </c>
      <c r="BI27" s="44" t="n">
        <f aca="false">BI13*Supuestos!$C$59</f>
        <v>108.8</v>
      </c>
      <c r="BJ27" s="44" t="n">
        <f aca="false">BJ13*Supuestos!$C$59</f>
        <v>109.933333333333</v>
      </c>
    </row>
    <row r="28" customFormat="false" ht="15" hidden="false" customHeight="true" outlineLevel="0" collapsed="false">
      <c r="A28" s="10" t="s">
        <v>254</v>
      </c>
      <c r="B28" s="7" t="s">
        <v>115</v>
      </c>
      <c r="C28" s="44" t="n">
        <f aca="false">C13*Supuestos!$C$60</f>
        <v>49.98</v>
      </c>
      <c r="D28" s="44" t="n">
        <f aca="false">D13*Supuestos!$C$60</f>
        <v>26.0196</v>
      </c>
      <c r="E28" s="44" t="n">
        <f aca="false">E13*Supuestos!$C$60</f>
        <v>51.48</v>
      </c>
      <c r="F28" s="44" t="n">
        <f aca="false">F13*Supuestos!$C$60</f>
        <v>52.5396</v>
      </c>
      <c r="G28" s="44" t="n">
        <f aca="false">G13*Supuestos!$C$60</f>
        <v>53.4804</v>
      </c>
      <c r="H28" s="44" t="n">
        <f aca="false">H13*Supuestos!$C$60</f>
        <v>54.48</v>
      </c>
      <c r="I28" s="44" t="n">
        <f aca="false">I13*Supuestos!$C$60</f>
        <v>55.5396</v>
      </c>
      <c r="J28" s="44" t="n">
        <f aca="false">J13*Supuestos!$C$60</f>
        <v>81.5004</v>
      </c>
      <c r="K28" s="44" t="n">
        <f aca="false">K13*Supuestos!$C$60</f>
        <v>57.9804</v>
      </c>
      <c r="L28" s="44" t="n">
        <f aca="false">L13*Supuestos!$C$60</f>
        <v>58.98</v>
      </c>
      <c r="M28" s="44" t="n">
        <f aca="false">M13*Supuestos!$C$60</f>
        <v>60.0396</v>
      </c>
      <c r="N28" s="44" t="n">
        <f aca="false">N13*Supuestos!$C$60</f>
        <v>60.9804</v>
      </c>
      <c r="O28" s="44" t="n">
        <f aca="false">O13*Supuestos!$C$60</f>
        <v>95.3333333333334</v>
      </c>
      <c r="P28" s="44" t="n">
        <f aca="false">P13*Supuestos!$C$60</f>
        <v>96.9999999999999</v>
      </c>
      <c r="Q28" s="44" t="n">
        <f aca="false">Q13*Supuestos!$C$60</f>
        <v>98.6666666666667</v>
      </c>
      <c r="R28" s="44" t="n">
        <f aca="false">R13*Supuestos!$C$60</f>
        <v>100.333333333333</v>
      </c>
      <c r="S28" s="44" t="n">
        <f aca="false">S13*Supuestos!$C$60</f>
        <v>102</v>
      </c>
      <c r="T28" s="44" t="n">
        <f aca="false">T13*Supuestos!$C$60</f>
        <v>103.666666666667</v>
      </c>
      <c r="U28" s="44" t="n">
        <f aca="false">U13*Supuestos!$C$60</f>
        <v>105.333333333333</v>
      </c>
      <c r="V28" s="44" t="n">
        <f aca="false">V13*Supuestos!$C$60</f>
        <v>107</v>
      </c>
      <c r="W28" s="44" t="n">
        <f aca="false">W13*Supuestos!$C$60</f>
        <v>108.666666666667</v>
      </c>
      <c r="X28" s="44" t="n">
        <f aca="false">X13*Supuestos!$C$60</f>
        <v>110.333333333333</v>
      </c>
      <c r="Y28" s="44" t="n">
        <f aca="false">Y13*Supuestos!$C$60</f>
        <v>112</v>
      </c>
      <c r="Z28" s="44" t="n">
        <f aca="false">Z13*Supuestos!$C$60</f>
        <v>113.666666666667</v>
      </c>
      <c r="AA28" s="44" t="n">
        <f aca="false">AA13*Supuestos!$C$60</f>
        <v>165.333333333333</v>
      </c>
      <c r="AB28" s="44" t="n">
        <f aca="false">AB13*Supuestos!$C$60</f>
        <v>168</v>
      </c>
      <c r="AC28" s="44" t="n">
        <f aca="false">AC13*Supuestos!$C$60</f>
        <v>170.666666666667</v>
      </c>
      <c r="AD28" s="44" t="n">
        <f aca="false">AD13*Supuestos!$C$60</f>
        <v>173.333333333333</v>
      </c>
      <c r="AE28" s="44" t="n">
        <f aca="false">AE13*Supuestos!$C$60</f>
        <v>176</v>
      </c>
      <c r="AF28" s="44" t="n">
        <f aca="false">AF13*Supuestos!$C$60</f>
        <v>178.666666666667</v>
      </c>
      <c r="AG28" s="44" t="n">
        <f aca="false">AG13*Supuestos!$C$60</f>
        <v>181.333333333333</v>
      </c>
      <c r="AH28" s="44" t="n">
        <f aca="false">AH13*Supuestos!$C$60</f>
        <v>184</v>
      </c>
      <c r="AI28" s="44" t="n">
        <f aca="false">AI13*Supuestos!$C$60</f>
        <v>186.666666666667</v>
      </c>
      <c r="AJ28" s="44" t="n">
        <f aca="false">AJ13*Supuestos!$C$60</f>
        <v>189.333333333333</v>
      </c>
      <c r="AK28" s="44" t="n">
        <f aca="false">AK13*Supuestos!$C$60</f>
        <v>192</v>
      </c>
      <c r="AL28" s="44" t="n">
        <f aca="false">AL13*Supuestos!$C$60</f>
        <v>194.666666666667</v>
      </c>
      <c r="AM28" s="44" t="n">
        <f aca="false">AM13*Supuestos!$C$60</f>
        <v>197.333333333333</v>
      </c>
      <c r="AN28" s="44" t="n">
        <f aca="false">AN13*Supuestos!$C$60</f>
        <v>200</v>
      </c>
      <c r="AO28" s="44" t="n">
        <f aca="false">AO13*Supuestos!$C$60</f>
        <v>202.666666666667</v>
      </c>
      <c r="AP28" s="44" t="n">
        <f aca="false">AP13*Supuestos!$C$60</f>
        <v>205.333333333333</v>
      </c>
      <c r="AQ28" s="44" t="n">
        <f aca="false">AQ13*Supuestos!$C$60</f>
        <v>208</v>
      </c>
      <c r="AR28" s="44" t="n">
        <f aca="false">AR13*Supuestos!$C$60</f>
        <v>210.666666666667</v>
      </c>
      <c r="AS28" s="44" t="n">
        <f aca="false">AS13*Supuestos!$C$60</f>
        <v>213.333333333333</v>
      </c>
      <c r="AT28" s="44" t="n">
        <f aca="false">AT13*Supuestos!$C$60</f>
        <v>216</v>
      </c>
      <c r="AU28" s="44" t="n">
        <f aca="false">AU13*Supuestos!$C$60</f>
        <v>218.666666666666</v>
      </c>
      <c r="AV28" s="44" t="n">
        <f aca="false">AV13*Supuestos!$C$60</f>
        <v>221.333333333333</v>
      </c>
      <c r="AW28" s="44" t="n">
        <f aca="false">AW13*Supuestos!$C$60</f>
        <v>224.000000000001</v>
      </c>
      <c r="AX28" s="44" t="n">
        <f aca="false">AX13*Supuestos!$C$60</f>
        <v>226.666666666666</v>
      </c>
      <c r="AY28" s="44" t="n">
        <f aca="false">AY13*Supuestos!$C$60</f>
        <v>229.333333333333</v>
      </c>
      <c r="AZ28" s="44" t="n">
        <f aca="false">AZ13*Supuestos!$C$60</f>
        <v>232.000000000001</v>
      </c>
      <c r="BA28" s="44" t="n">
        <f aca="false">BA13*Supuestos!$C$60</f>
        <v>234.666666666666</v>
      </c>
      <c r="BB28" s="44" t="n">
        <f aca="false">BB13*Supuestos!$C$60</f>
        <v>237.333333333333</v>
      </c>
      <c r="BC28" s="44" t="n">
        <f aca="false">BC13*Supuestos!$C$60</f>
        <v>240.000000000001</v>
      </c>
      <c r="BD28" s="44" t="n">
        <f aca="false">BD13*Supuestos!$C$60</f>
        <v>242.666666666666</v>
      </c>
      <c r="BE28" s="44" t="n">
        <f aca="false">BE13*Supuestos!$C$60</f>
        <v>245.333333333333</v>
      </c>
      <c r="BF28" s="44" t="n">
        <f aca="false">BF13*Supuestos!$C$60</f>
        <v>248.000000000001</v>
      </c>
      <c r="BG28" s="44" t="n">
        <f aca="false">BG13*Supuestos!$C$60</f>
        <v>250.666666666666</v>
      </c>
      <c r="BH28" s="44" t="n">
        <f aca="false">BH13*Supuestos!$C$60</f>
        <v>253.333333333333</v>
      </c>
      <c r="BI28" s="44" t="n">
        <f aca="false">BI13*Supuestos!$C$60</f>
        <v>256.000000000001</v>
      </c>
      <c r="BJ28" s="44" t="n">
        <f aca="false">BJ13*Supuestos!$C$60</f>
        <v>258.666666666666</v>
      </c>
    </row>
    <row r="29" customFormat="false" ht="15" hidden="false" customHeight="true" outlineLevel="0" collapsed="false">
      <c r="A29" s="10" t="s">
        <v>255</v>
      </c>
      <c r="B29" s="7" t="s">
        <v>115</v>
      </c>
      <c r="C29" s="44" t="n">
        <f aca="false">Supuestos!$C$61+C14/100*Supuestos!$C$62</f>
        <v>80.62475</v>
      </c>
      <c r="D29" s="44" t="n">
        <f aca="false">Supuestos!$C$61+D14/100*Supuestos!$C$62</f>
        <v>80.9375</v>
      </c>
      <c r="E29" s="44" t="n">
        <f aca="false">Supuestos!$C$61+E14/100*Supuestos!$C$62</f>
        <v>81.56225</v>
      </c>
      <c r="F29" s="44" t="n">
        <f aca="false">Supuestos!$C$61+F14/100*Supuestos!$C$62</f>
        <v>82.18775</v>
      </c>
      <c r="G29" s="44" t="n">
        <f aca="false">Supuestos!$C$61+G14/100*Supuestos!$C$62</f>
        <v>82.8125</v>
      </c>
      <c r="H29" s="44" t="n">
        <f aca="false">Supuestos!$C$61+H14/100*Supuestos!$C$62</f>
        <v>83.43725</v>
      </c>
      <c r="I29" s="44" t="n">
        <f aca="false">Supuestos!$C$61+I14/100*Supuestos!$C$62</f>
        <v>84.06275</v>
      </c>
      <c r="J29" s="44" t="n">
        <f aca="false">Supuestos!$C$61+J14/100*Supuestos!$C$62</f>
        <v>85.00025</v>
      </c>
      <c r="K29" s="44" t="n">
        <f aca="false">Supuestos!$C$61+K14/100*Supuestos!$C$62</f>
        <v>85.625</v>
      </c>
      <c r="L29" s="44" t="n">
        <f aca="false">Supuestos!$C$61+L14/100*Supuestos!$C$62</f>
        <v>86.24975</v>
      </c>
      <c r="M29" s="44" t="n">
        <f aca="false">Supuestos!$C$61+M14/100*Supuestos!$C$62</f>
        <v>86.87525</v>
      </c>
      <c r="N29" s="44" t="n">
        <f aca="false">Supuestos!$C$61+N14/100*Supuestos!$C$62</f>
        <v>87.5</v>
      </c>
      <c r="O29" s="44" t="n">
        <f aca="false">Supuestos!$C$61+O14/100*Supuestos!$C$62</f>
        <v>88.5416666666667</v>
      </c>
      <c r="P29" s="44" t="n">
        <f aca="false">Supuestos!$C$61+P14/100*Supuestos!$C$62</f>
        <v>89.5833333333333</v>
      </c>
      <c r="Q29" s="44" t="n">
        <f aca="false">Supuestos!$C$61+Q14/100*Supuestos!$C$62</f>
        <v>90.625</v>
      </c>
      <c r="R29" s="44" t="n">
        <f aca="false">Supuestos!$C$61+R14/100*Supuestos!$C$62</f>
        <v>91.6666666666667</v>
      </c>
      <c r="S29" s="44" t="n">
        <f aca="false">Supuestos!$C$61+S14/100*Supuestos!$C$62</f>
        <v>92.7083333333333</v>
      </c>
      <c r="T29" s="44" t="n">
        <f aca="false">Supuestos!$C$61+T14/100*Supuestos!$C$62</f>
        <v>93.75</v>
      </c>
      <c r="U29" s="44" t="n">
        <f aca="false">Supuestos!$C$61+U14/100*Supuestos!$C$62</f>
        <v>94.7916666666667</v>
      </c>
      <c r="V29" s="44" t="n">
        <f aca="false">Supuestos!$C$61+V14/100*Supuestos!$C$62</f>
        <v>95.8333333333333</v>
      </c>
      <c r="W29" s="44" t="n">
        <f aca="false">Supuestos!$C$61+W14/100*Supuestos!$C$62</f>
        <v>96.875</v>
      </c>
      <c r="X29" s="44" t="n">
        <f aca="false">Supuestos!$C$61+X14/100*Supuestos!$C$62</f>
        <v>97.9166666666667</v>
      </c>
      <c r="Y29" s="44" t="n">
        <f aca="false">Supuestos!$C$61+Y14/100*Supuestos!$C$62</f>
        <v>98.9583333333333</v>
      </c>
      <c r="Z29" s="44" t="n">
        <f aca="false">Supuestos!$C$61+Z14/100*Supuestos!$C$62</f>
        <v>100</v>
      </c>
      <c r="AA29" s="44" t="n">
        <f aca="false">Supuestos!$C$61+AA14/100*Supuestos!$C$62</f>
        <v>101.666666666667</v>
      </c>
      <c r="AB29" s="44" t="n">
        <f aca="false">Supuestos!$C$61+AB14/100*Supuestos!$C$62</f>
        <v>103.333333333333</v>
      </c>
      <c r="AC29" s="44" t="n">
        <f aca="false">Supuestos!$C$61+AC14/100*Supuestos!$C$62</f>
        <v>105</v>
      </c>
      <c r="AD29" s="44" t="n">
        <f aca="false">Supuestos!$C$61+AD14/100*Supuestos!$C$62</f>
        <v>106.666666666667</v>
      </c>
      <c r="AE29" s="44" t="n">
        <f aca="false">Supuestos!$C$61+AE14/100*Supuestos!$C$62</f>
        <v>108.333333333333</v>
      </c>
      <c r="AF29" s="44" t="n">
        <f aca="false">Supuestos!$C$61+AF14/100*Supuestos!$C$62</f>
        <v>110</v>
      </c>
      <c r="AG29" s="44" t="n">
        <f aca="false">Supuestos!$C$61+AG14/100*Supuestos!$C$62</f>
        <v>111.666666666667</v>
      </c>
      <c r="AH29" s="44" t="n">
        <f aca="false">Supuestos!$C$61+AH14/100*Supuestos!$C$62</f>
        <v>113.333333333333</v>
      </c>
      <c r="AI29" s="44" t="n">
        <f aca="false">Supuestos!$C$61+AI14/100*Supuestos!$C$62</f>
        <v>115</v>
      </c>
      <c r="AJ29" s="44" t="n">
        <f aca="false">Supuestos!$C$61+AJ14/100*Supuestos!$C$62</f>
        <v>116.666666666667</v>
      </c>
      <c r="AK29" s="44" t="n">
        <f aca="false">Supuestos!$C$61+AK14/100*Supuestos!$C$62</f>
        <v>118.333333333333</v>
      </c>
      <c r="AL29" s="44" t="n">
        <f aca="false">Supuestos!$C$61+AL14/100*Supuestos!$C$62</f>
        <v>120</v>
      </c>
      <c r="AM29" s="44" t="n">
        <f aca="false">Supuestos!$C$61+AM14/100*Supuestos!$C$62</f>
        <v>121.666666666667</v>
      </c>
      <c r="AN29" s="44" t="n">
        <f aca="false">Supuestos!$C$61+AN14/100*Supuestos!$C$62</f>
        <v>123.333333333333</v>
      </c>
      <c r="AO29" s="44" t="n">
        <f aca="false">Supuestos!$C$61+AO14/100*Supuestos!$C$62</f>
        <v>125</v>
      </c>
      <c r="AP29" s="44" t="n">
        <f aca="false">Supuestos!$C$61+AP14/100*Supuestos!$C$62</f>
        <v>126.666666666667</v>
      </c>
      <c r="AQ29" s="44" t="n">
        <f aca="false">Supuestos!$C$61+AQ14/100*Supuestos!$C$62</f>
        <v>128.333333333333</v>
      </c>
      <c r="AR29" s="44" t="n">
        <f aca="false">Supuestos!$C$61+AR14/100*Supuestos!$C$62</f>
        <v>130</v>
      </c>
      <c r="AS29" s="44" t="n">
        <f aca="false">Supuestos!$C$61+AS14/100*Supuestos!$C$62</f>
        <v>131.666666666667</v>
      </c>
      <c r="AT29" s="44" t="n">
        <f aca="false">Supuestos!$C$61+AT14/100*Supuestos!$C$62</f>
        <v>133.333333333333</v>
      </c>
      <c r="AU29" s="44" t="n">
        <f aca="false">Supuestos!$C$61+AU14/100*Supuestos!$C$62</f>
        <v>135</v>
      </c>
      <c r="AV29" s="44" t="n">
        <f aca="false">Supuestos!$C$61+AV14/100*Supuestos!$C$62</f>
        <v>136.666666666667</v>
      </c>
      <c r="AW29" s="44" t="n">
        <f aca="false">Supuestos!$C$61+AW14/100*Supuestos!$C$62</f>
        <v>138.333333333333</v>
      </c>
      <c r="AX29" s="44" t="n">
        <f aca="false">Supuestos!$C$61+AX14/100*Supuestos!$C$62</f>
        <v>140</v>
      </c>
      <c r="AY29" s="44" t="n">
        <f aca="false">Supuestos!$C$61+AY14/100*Supuestos!$C$62</f>
        <v>141.666666666667</v>
      </c>
      <c r="AZ29" s="44" t="n">
        <f aca="false">Supuestos!$C$61+AZ14/100*Supuestos!$C$62</f>
        <v>143.333333333333</v>
      </c>
      <c r="BA29" s="44" t="n">
        <f aca="false">Supuestos!$C$61+BA14/100*Supuestos!$C$62</f>
        <v>145</v>
      </c>
      <c r="BB29" s="44" t="n">
        <f aca="false">Supuestos!$C$61+BB14/100*Supuestos!$C$62</f>
        <v>146.666666666667</v>
      </c>
      <c r="BC29" s="44" t="n">
        <f aca="false">Supuestos!$C$61+BC14/100*Supuestos!$C$62</f>
        <v>148.333333333333</v>
      </c>
      <c r="BD29" s="44" t="n">
        <f aca="false">Supuestos!$C$61+BD14/100*Supuestos!$C$62</f>
        <v>150</v>
      </c>
      <c r="BE29" s="44" t="n">
        <f aca="false">Supuestos!$C$61+BE14/100*Supuestos!$C$62</f>
        <v>151.666666666667</v>
      </c>
      <c r="BF29" s="44" t="n">
        <f aca="false">Supuestos!$C$61+BF14/100*Supuestos!$C$62</f>
        <v>153.333333333333</v>
      </c>
      <c r="BG29" s="44" t="n">
        <f aca="false">Supuestos!$C$61+BG14/100*Supuestos!$C$62</f>
        <v>155</v>
      </c>
      <c r="BH29" s="44" t="n">
        <f aca="false">Supuestos!$C$61+BH14/100*Supuestos!$C$62</f>
        <v>156.666666666667</v>
      </c>
      <c r="BI29" s="44" t="n">
        <f aca="false">Supuestos!$C$61+BI14/100*Supuestos!$C$62</f>
        <v>158.333333333333</v>
      </c>
      <c r="BJ29" s="44" t="n">
        <f aca="false">Supuestos!$C$61+BJ14/100*Supuestos!$C$62</f>
        <v>160</v>
      </c>
    </row>
    <row r="30" customFormat="false" ht="15" hidden="false" customHeight="true" outlineLevel="0" collapsed="false">
      <c r="A30" s="16" t="s">
        <v>256</v>
      </c>
      <c r="B30" s="7" t="s">
        <v>115</v>
      </c>
      <c r="C30" s="45" t="n">
        <f aca="false">SUM(C26:C29)</f>
        <v>156.01125</v>
      </c>
      <c r="D30" s="45" t="n">
        <f aca="false">SUM(D26:D29)</f>
        <v>124.26543</v>
      </c>
      <c r="E30" s="45" t="n">
        <f aca="false">SUM(E26:E29)</f>
        <v>165.33625</v>
      </c>
      <c r="F30" s="45" t="n">
        <f aca="false">SUM(F26:F29)</f>
        <v>171.64168</v>
      </c>
      <c r="G30" s="45" t="n">
        <f aca="false">SUM(G26:G29)</f>
        <v>177.77207</v>
      </c>
      <c r="H30" s="45" t="n">
        <f aca="false">SUM(H26:H29)</f>
        <v>183.98625</v>
      </c>
      <c r="I30" s="45" t="n">
        <f aca="false">SUM(I26:I29)</f>
        <v>190.29168</v>
      </c>
      <c r="J30" s="45" t="n">
        <f aca="false">SUM(J26:J29)</f>
        <v>234.47332</v>
      </c>
      <c r="K30" s="45" t="n">
        <f aca="false">SUM(K26:K29)</f>
        <v>205.74707</v>
      </c>
      <c r="L30" s="45" t="n">
        <f aca="false">SUM(L26:L29)</f>
        <v>211.96125</v>
      </c>
      <c r="M30" s="45" t="n">
        <f aca="false">SUM(M26:M29)</f>
        <v>218.26668</v>
      </c>
      <c r="N30" s="45" t="n">
        <f aca="false">SUM(N26:N29)</f>
        <v>224.39707</v>
      </c>
      <c r="O30" s="45" t="n">
        <f aca="false">SUM(O26:O29)</f>
        <v>281.336111111111</v>
      </c>
      <c r="P30" s="45" t="n">
        <f aca="false">SUM(P26:P29)</f>
        <v>291.697222222222</v>
      </c>
      <c r="Q30" s="45" t="n">
        <f aca="false">SUM(Q26:Q29)</f>
        <v>302.058333333333</v>
      </c>
      <c r="R30" s="45" t="n">
        <f aca="false">SUM(R26:R29)</f>
        <v>312.419444444444</v>
      </c>
      <c r="S30" s="45" t="n">
        <f aca="false">SUM(S26:S29)</f>
        <v>322.780555555556</v>
      </c>
      <c r="T30" s="45" t="n">
        <f aca="false">SUM(T26:T29)</f>
        <v>333.141666666667</v>
      </c>
      <c r="U30" s="45" t="n">
        <f aca="false">SUM(U26:U29)</f>
        <v>343.502777777778</v>
      </c>
      <c r="V30" s="45" t="n">
        <f aca="false">SUM(V26:V29)</f>
        <v>353.863888888889</v>
      </c>
      <c r="W30" s="45" t="n">
        <f aca="false">SUM(W26:W29)</f>
        <v>364.225</v>
      </c>
      <c r="X30" s="45" t="n">
        <f aca="false">SUM(X26:X29)</f>
        <v>374.586111111111</v>
      </c>
      <c r="Y30" s="45" t="n">
        <f aca="false">SUM(Y26:Y29)</f>
        <v>384.947222222222</v>
      </c>
      <c r="Z30" s="45" t="n">
        <f aca="false">SUM(Z26:Z29)</f>
        <v>395.308333333333</v>
      </c>
      <c r="AA30" s="45" t="n">
        <f aca="false">SUM(AA26:AA29)</f>
        <v>481.711111111111</v>
      </c>
      <c r="AB30" s="45" t="n">
        <f aca="false">SUM(AB26:AB29)</f>
        <v>498.288888888889</v>
      </c>
      <c r="AC30" s="45" t="n">
        <f aca="false">SUM(AC26:AC29)</f>
        <v>514.866666666666</v>
      </c>
      <c r="AD30" s="45" t="n">
        <f aca="false">SUM(AD26:AD29)</f>
        <v>531.444444444445</v>
      </c>
      <c r="AE30" s="45" t="n">
        <f aca="false">SUM(AE26:AE29)</f>
        <v>548.022222222222</v>
      </c>
      <c r="AF30" s="45" t="n">
        <f aca="false">SUM(AF26:AF29)</f>
        <v>564.6</v>
      </c>
      <c r="AG30" s="45" t="n">
        <f aca="false">SUM(AG26:AG29)</f>
        <v>581.177777777778</v>
      </c>
      <c r="AH30" s="45" t="n">
        <f aca="false">SUM(AH26:AH29)</f>
        <v>597.755555555556</v>
      </c>
      <c r="AI30" s="45" t="n">
        <f aca="false">SUM(AI26:AI29)</f>
        <v>614.333333333333</v>
      </c>
      <c r="AJ30" s="45" t="n">
        <f aca="false">SUM(AJ26:AJ29)</f>
        <v>630.911111111111</v>
      </c>
      <c r="AK30" s="45" t="n">
        <f aca="false">SUM(AK26:AK29)</f>
        <v>647.48888888889</v>
      </c>
      <c r="AL30" s="45" t="n">
        <f aca="false">SUM(AL26:AL29)</f>
        <v>664.066666666667</v>
      </c>
      <c r="AM30" s="45" t="n">
        <f aca="false">SUM(AM26:AM29)</f>
        <v>680.644444444445</v>
      </c>
      <c r="AN30" s="45" t="n">
        <f aca="false">SUM(AN26:AN29)</f>
        <v>697.222222222222</v>
      </c>
      <c r="AO30" s="45" t="n">
        <f aca="false">SUM(AO26:AO29)</f>
        <v>713.8</v>
      </c>
      <c r="AP30" s="45" t="n">
        <f aca="false">SUM(AP26:AP29)</f>
        <v>730.377777777778</v>
      </c>
      <c r="AQ30" s="45" t="n">
        <f aca="false">SUM(AQ26:AQ29)</f>
        <v>746.955555555555</v>
      </c>
      <c r="AR30" s="45" t="n">
        <f aca="false">SUM(AR26:AR29)</f>
        <v>763.533333333334</v>
      </c>
      <c r="AS30" s="45" t="n">
        <f aca="false">SUM(AS26:AS29)</f>
        <v>780.111111111111</v>
      </c>
      <c r="AT30" s="45" t="n">
        <f aca="false">SUM(AT26:AT29)</f>
        <v>796.68888888889</v>
      </c>
      <c r="AU30" s="45" t="n">
        <f aca="false">SUM(AU26:AU29)</f>
        <v>813.266666666666</v>
      </c>
      <c r="AV30" s="45" t="n">
        <f aca="false">SUM(AV26:AV29)</f>
        <v>829.844444444444</v>
      </c>
      <c r="AW30" s="45" t="n">
        <f aca="false">SUM(AW26:AW29)</f>
        <v>846.422222222224</v>
      </c>
      <c r="AX30" s="45" t="n">
        <f aca="false">SUM(AX26:AX29)</f>
        <v>862.999999999999</v>
      </c>
      <c r="AY30" s="45" t="n">
        <f aca="false">SUM(AY26:AY29)</f>
        <v>879.577777777777</v>
      </c>
      <c r="AZ30" s="45" t="n">
        <f aca="false">SUM(AZ26:AZ29)</f>
        <v>896.155555555557</v>
      </c>
      <c r="BA30" s="45" t="n">
        <f aca="false">SUM(BA26:BA29)</f>
        <v>912.733333333332</v>
      </c>
      <c r="BB30" s="45" t="n">
        <f aca="false">SUM(BB26:BB29)</f>
        <v>929.311111111111</v>
      </c>
      <c r="BC30" s="45" t="n">
        <f aca="false">SUM(BC26:BC29)</f>
        <v>945.88888888889</v>
      </c>
      <c r="BD30" s="45" t="n">
        <f aca="false">SUM(BD26:BD29)</f>
        <v>962.466666666666</v>
      </c>
      <c r="BE30" s="45" t="n">
        <f aca="false">SUM(BE26:BE29)</f>
        <v>979.044444444444</v>
      </c>
      <c r="BF30" s="45" t="n">
        <f aca="false">SUM(BF26:BF29)</f>
        <v>995.622222222224</v>
      </c>
      <c r="BG30" s="45" t="n">
        <f aca="false">SUM(BG26:BG29)</f>
        <v>1012.2</v>
      </c>
      <c r="BH30" s="45" t="n">
        <f aca="false">SUM(BH26:BH29)</f>
        <v>1028.77777777778</v>
      </c>
      <c r="BI30" s="45" t="n">
        <f aca="false">SUM(BI26:BI29)</f>
        <v>1045.35555555556</v>
      </c>
      <c r="BJ30" s="45" t="n">
        <f aca="false">SUM(BJ26:BJ29)</f>
        <v>1061.93333333333</v>
      </c>
    </row>
    <row r="31" customFormat="false" ht="15" hidden="false" customHeight="true" outlineLevel="0" collapsed="false">
      <c r="A31" s="10" t="s">
        <v>257</v>
      </c>
      <c r="B31" s="7" t="s">
        <v>115</v>
      </c>
      <c r="C31" s="44" t="n">
        <f aca="false">Supuestos!$C$51*IF(C6=1,Supuestos!$C$54,IF(C6=2,Supuestos!$C$55,Supuestos!$C$56))</f>
        <v>240</v>
      </c>
      <c r="D31" s="44" t="n">
        <f aca="false">Supuestos!$C$51*IF(D6=1,Supuestos!$C$54,IF(D6=2,Supuestos!$C$55,Supuestos!$C$56))</f>
        <v>240</v>
      </c>
      <c r="E31" s="44" t="n">
        <f aca="false">Supuestos!$C$51*IF(E6=1,Supuestos!$C$54,IF(E6=2,Supuestos!$C$55,Supuestos!$C$56))</f>
        <v>240</v>
      </c>
      <c r="F31" s="44" t="n">
        <f aca="false">Supuestos!$C$51*IF(F6=1,Supuestos!$C$54,IF(F6=2,Supuestos!$C$55,Supuestos!$C$56))</f>
        <v>240</v>
      </c>
      <c r="G31" s="44" t="n">
        <f aca="false">Supuestos!$C$51*IF(G6=1,Supuestos!$C$54,IF(G6=2,Supuestos!$C$55,Supuestos!$C$56))</f>
        <v>240</v>
      </c>
      <c r="H31" s="44" t="n">
        <f aca="false">Supuestos!$C$51*IF(H6=1,Supuestos!$C$54,IF(H6=2,Supuestos!$C$55,Supuestos!$C$56))</f>
        <v>240</v>
      </c>
      <c r="I31" s="44" t="n">
        <f aca="false">Supuestos!$C$51*IF(I6=1,Supuestos!$C$54,IF(I6=2,Supuestos!$C$55,Supuestos!$C$56))</f>
        <v>240</v>
      </c>
      <c r="J31" s="44" t="n">
        <f aca="false">Supuestos!$C$51*IF(J6=1,Supuestos!$C$54,IF(J6=2,Supuestos!$C$55,Supuestos!$C$56))</f>
        <v>240</v>
      </c>
      <c r="K31" s="44" t="n">
        <f aca="false">Supuestos!$C$51*IF(K6=1,Supuestos!$C$54,IF(K6=2,Supuestos!$C$55,Supuestos!$C$56))</f>
        <v>240</v>
      </c>
      <c r="L31" s="44" t="n">
        <f aca="false">Supuestos!$C$51*IF(L6=1,Supuestos!$C$54,IF(L6=2,Supuestos!$C$55,Supuestos!$C$56))</f>
        <v>240</v>
      </c>
      <c r="M31" s="44" t="n">
        <f aca="false">Supuestos!$C$51*IF(M6=1,Supuestos!$C$54,IF(M6=2,Supuestos!$C$55,Supuestos!$C$56))</f>
        <v>240</v>
      </c>
      <c r="N31" s="44" t="n">
        <f aca="false">Supuestos!$C$51*IF(N6=1,Supuestos!$C$54,IF(N6=2,Supuestos!$C$55,Supuestos!$C$56))</f>
        <v>240</v>
      </c>
      <c r="O31" s="44" t="n">
        <f aca="false">Supuestos!$C$51*IF(O6=1,Supuestos!$C$54,IF(O6=2,Supuestos!$C$55,Supuestos!$C$56))</f>
        <v>360</v>
      </c>
      <c r="P31" s="44" t="n">
        <f aca="false">Supuestos!$C$51*IF(P6=1,Supuestos!$C$54,IF(P6=2,Supuestos!$C$55,Supuestos!$C$56))</f>
        <v>360</v>
      </c>
      <c r="Q31" s="44" t="n">
        <f aca="false">Supuestos!$C$51*IF(Q6=1,Supuestos!$C$54,IF(Q6=2,Supuestos!$C$55,Supuestos!$C$56))</f>
        <v>360</v>
      </c>
      <c r="R31" s="44" t="n">
        <f aca="false">Supuestos!$C$51*IF(R6=1,Supuestos!$C$54,IF(R6=2,Supuestos!$C$55,Supuestos!$C$56))</f>
        <v>360</v>
      </c>
      <c r="S31" s="44" t="n">
        <f aca="false">Supuestos!$C$51*IF(S6=1,Supuestos!$C$54,IF(S6=2,Supuestos!$C$55,Supuestos!$C$56))</f>
        <v>360</v>
      </c>
      <c r="T31" s="44" t="n">
        <f aca="false">Supuestos!$C$51*IF(T6=1,Supuestos!$C$54,IF(T6=2,Supuestos!$C$55,Supuestos!$C$56))</f>
        <v>360</v>
      </c>
      <c r="U31" s="44" t="n">
        <f aca="false">Supuestos!$C$51*IF(U6=1,Supuestos!$C$54,IF(U6=2,Supuestos!$C$55,Supuestos!$C$56))</f>
        <v>360</v>
      </c>
      <c r="V31" s="44" t="n">
        <f aca="false">Supuestos!$C$51*IF(V6=1,Supuestos!$C$54,IF(V6=2,Supuestos!$C$55,Supuestos!$C$56))</f>
        <v>360</v>
      </c>
      <c r="W31" s="44" t="n">
        <f aca="false">Supuestos!$C$51*IF(W6=1,Supuestos!$C$54,IF(W6=2,Supuestos!$C$55,Supuestos!$C$56))</f>
        <v>360</v>
      </c>
      <c r="X31" s="44" t="n">
        <f aca="false">Supuestos!$C$51*IF(X6=1,Supuestos!$C$54,IF(X6=2,Supuestos!$C$55,Supuestos!$C$56))</f>
        <v>360</v>
      </c>
      <c r="Y31" s="44" t="n">
        <f aca="false">Supuestos!$C$51*IF(Y6=1,Supuestos!$C$54,IF(Y6=2,Supuestos!$C$55,Supuestos!$C$56))</f>
        <v>360</v>
      </c>
      <c r="Z31" s="44" t="n">
        <f aca="false">Supuestos!$C$51*IF(Z6=1,Supuestos!$C$54,IF(Z6=2,Supuestos!$C$55,Supuestos!$C$56))</f>
        <v>360</v>
      </c>
      <c r="AA31" s="44" t="n">
        <f aca="false">Supuestos!$C$51*IF(AA6=1,Supuestos!$C$54,IF(AA6=2,Supuestos!$C$55,Supuestos!$C$56))</f>
        <v>480</v>
      </c>
      <c r="AB31" s="44" t="n">
        <f aca="false">Supuestos!$C$51*IF(AB6=1,Supuestos!$C$54,IF(AB6=2,Supuestos!$C$55,Supuestos!$C$56))</f>
        <v>480</v>
      </c>
      <c r="AC31" s="44" t="n">
        <f aca="false">Supuestos!$C$51*IF(AC6=1,Supuestos!$C$54,IF(AC6=2,Supuestos!$C$55,Supuestos!$C$56))</f>
        <v>480</v>
      </c>
      <c r="AD31" s="44" t="n">
        <f aca="false">Supuestos!$C$51*IF(AD6=1,Supuestos!$C$54,IF(AD6=2,Supuestos!$C$55,Supuestos!$C$56))</f>
        <v>480</v>
      </c>
      <c r="AE31" s="44" t="n">
        <f aca="false">Supuestos!$C$51*IF(AE6=1,Supuestos!$C$54,IF(AE6=2,Supuestos!$C$55,Supuestos!$C$56))</f>
        <v>480</v>
      </c>
      <c r="AF31" s="44" t="n">
        <f aca="false">Supuestos!$C$51*IF(AF6=1,Supuestos!$C$54,IF(AF6=2,Supuestos!$C$55,Supuestos!$C$56))</f>
        <v>480</v>
      </c>
      <c r="AG31" s="44" t="n">
        <f aca="false">Supuestos!$C$51*IF(AG6=1,Supuestos!$C$54,IF(AG6=2,Supuestos!$C$55,Supuestos!$C$56))</f>
        <v>480</v>
      </c>
      <c r="AH31" s="44" t="n">
        <f aca="false">Supuestos!$C$51*IF(AH6=1,Supuestos!$C$54,IF(AH6=2,Supuestos!$C$55,Supuestos!$C$56))</f>
        <v>480</v>
      </c>
      <c r="AI31" s="44" t="n">
        <f aca="false">Supuestos!$C$51*IF(AI6=1,Supuestos!$C$54,IF(AI6=2,Supuestos!$C$55,Supuestos!$C$56))</f>
        <v>480</v>
      </c>
      <c r="AJ31" s="44" t="n">
        <f aca="false">Supuestos!$C$51*IF(AJ6=1,Supuestos!$C$54,IF(AJ6=2,Supuestos!$C$55,Supuestos!$C$56))</f>
        <v>480</v>
      </c>
      <c r="AK31" s="44" t="n">
        <f aca="false">Supuestos!$C$51*IF(AK6=1,Supuestos!$C$54,IF(AK6=2,Supuestos!$C$55,Supuestos!$C$56))</f>
        <v>480</v>
      </c>
      <c r="AL31" s="44" t="n">
        <f aca="false">Supuestos!$C$51*IF(AL6=1,Supuestos!$C$54,IF(AL6=2,Supuestos!$C$55,Supuestos!$C$56))</f>
        <v>480</v>
      </c>
      <c r="AM31" s="44" t="n">
        <f aca="false">Supuestos!$C$51*IF(AM6=1,Supuestos!$C$54,IF(AM6=2,Supuestos!$C$55,Supuestos!$C$56))</f>
        <v>480</v>
      </c>
      <c r="AN31" s="44" t="n">
        <f aca="false">Supuestos!$C$51*IF(AN6=1,Supuestos!$C$54,IF(AN6=2,Supuestos!$C$55,Supuestos!$C$56))</f>
        <v>480</v>
      </c>
      <c r="AO31" s="44" t="n">
        <f aca="false">Supuestos!$C$51*IF(AO6=1,Supuestos!$C$54,IF(AO6=2,Supuestos!$C$55,Supuestos!$C$56))</f>
        <v>480</v>
      </c>
      <c r="AP31" s="44" t="n">
        <f aca="false">Supuestos!$C$51*IF(AP6=1,Supuestos!$C$54,IF(AP6=2,Supuestos!$C$55,Supuestos!$C$56))</f>
        <v>480</v>
      </c>
      <c r="AQ31" s="44" t="n">
        <f aca="false">Supuestos!$C$51*IF(AQ6=1,Supuestos!$C$54,IF(AQ6=2,Supuestos!$C$55,Supuestos!$C$56))</f>
        <v>480</v>
      </c>
      <c r="AR31" s="44" t="n">
        <f aca="false">Supuestos!$C$51*IF(AR6=1,Supuestos!$C$54,IF(AR6=2,Supuestos!$C$55,Supuestos!$C$56))</f>
        <v>480</v>
      </c>
      <c r="AS31" s="44" t="n">
        <f aca="false">Supuestos!$C$51*IF(AS6=1,Supuestos!$C$54,IF(AS6=2,Supuestos!$C$55,Supuestos!$C$56))</f>
        <v>480</v>
      </c>
      <c r="AT31" s="44" t="n">
        <f aca="false">Supuestos!$C$51*IF(AT6=1,Supuestos!$C$54,IF(AT6=2,Supuestos!$C$55,Supuestos!$C$56))</f>
        <v>480</v>
      </c>
      <c r="AU31" s="44" t="n">
        <f aca="false">Supuestos!$C$51*IF(AU6=1,Supuestos!$C$54,IF(AU6=2,Supuestos!$C$55,Supuestos!$C$56))</f>
        <v>480</v>
      </c>
      <c r="AV31" s="44" t="n">
        <f aca="false">Supuestos!$C$51*IF(AV6=1,Supuestos!$C$54,IF(AV6=2,Supuestos!$C$55,Supuestos!$C$56))</f>
        <v>480</v>
      </c>
      <c r="AW31" s="44" t="n">
        <f aca="false">Supuestos!$C$51*IF(AW6=1,Supuestos!$C$54,IF(AW6=2,Supuestos!$C$55,Supuestos!$C$56))</f>
        <v>480</v>
      </c>
      <c r="AX31" s="44" t="n">
        <f aca="false">Supuestos!$C$51*IF(AX6=1,Supuestos!$C$54,IF(AX6=2,Supuestos!$C$55,Supuestos!$C$56))</f>
        <v>480</v>
      </c>
      <c r="AY31" s="44" t="n">
        <f aca="false">Supuestos!$C$51*IF(AY6=1,Supuestos!$C$54,IF(AY6=2,Supuestos!$C$55,Supuestos!$C$56))</f>
        <v>480</v>
      </c>
      <c r="AZ31" s="44" t="n">
        <f aca="false">Supuestos!$C$51*IF(AZ6=1,Supuestos!$C$54,IF(AZ6=2,Supuestos!$C$55,Supuestos!$C$56))</f>
        <v>480</v>
      </c>
      <c r="BA31" s="44" t="n">
        <f aca="false">Supuestos!$C$51*IF(BA6=1,Supuestos!$C$54,IF(BA6=2,Supuestos!$C$55,Supuestos!$C$56))</f>
        <v>480</v>
      </c>
      <c r="BB31" s="44" t="n">
        <f aca="false">Supuestos!$C$51*IF(BB6=1,Supuestos!$C$54,IF(BB6=2,Supuestos!$C$55,Supuestos!$C$56))</f>
        <v>480</v>
      </c>
      <c r="BC31" s="44" t="n">
        <f aca="false">Supuestos!$C$51*IF(BC6=1,Supuestos!$C$54,IF(BC6=2,Supuestos!$C$55,Supuestos!$C$56))</f>
        <v>480</v>
      </c>
      <c r="BD31" s="44" t="n">
        <f aca="false">Supuestos!$C$51*IF(BD6=1,Supuestos!$C$54,IF(BD6=2,Supuestos!$C$55,Supuestos!$C$56))</f>
        <v>480</v>
      </c>
      <c r="BE31" s="44" t="n">
        <f aca="false">Supuestos!$C$51*IF(BE6=1,Supuestos!$C$54,IF(BE6=2,Supuestos!$C$55,Supuestos!$C$56))</f>
        <v>480</v>
      </c>
      <c r="BF31" s="44" t="n">
        <f aca="false">Supuestos!$C$51*IF(BF6=1,Supuestos!$C$54,IF(BF6=2,Supuestos!$C$55,Supuestos!$C$56))</f>
        <v>480</v>
      </c>
      <c r="BG31" s="44" t="n">
        <f aca="false">Supuestos!$C$51*IF(BG6=1,Supuestos!$C$54,IF(BG6=2,Supuestos!$C$55,Supuestos!$C$56))</f>
        <v>480</v>
      </c>
      <c r="BH31" s="44" t="n">
        <f aca="false">Supuestos!$C$51*IF(BH6=1,Supuestos!$C$54,IF(BH6=2,Supuestos!$C$55,Supuestos!$C$56))</f>
        <v>480</v>
      </c>
      <c r="BI31" s="44" t="n">
        <f aca="false">Supuestos!$C$51*IF(BI6=1,Supuestos!$C$54,IF(BI6=2,Supuestos!$C$55,Supuestos!$C$56))</f>
        <v>480</v>
      </c>
      <c r="BJ31" s="44" t="n">
        <f aca="false">Supuestos!$C$51*IF(BJ6=1,Supuestos!$C$54,IF(BJ6=2,Supuestos!$C$55,Supuestos!$C$56))</f>
        <v>480</v>
      </c>
    </row>
    <row r="32" customFormat="false" ht="15" hidden="false" customHeight="true" outlineLevel="0" collapsed="false">
      <c r="A32" s="16" t="s">
        <v>258</v>
      </c>
      <c r="B32" s="7" t="s">
        <v>109</v>
      </c>
      <c r="C32" s="46" t="n">
        <f aca="false">IF(Supuestos!$C$8=1,MAX(0,ROUNDUP((C30-C31)/Supuestos!$C$57,0)),IF(C5=1,1,IF(C6=1,2,IF(C6=2,3,IF(C6=3,4,5)))))</f>
        <v>0</v>
      </c>
      <c r="D32" s="46" t="n">
        <f aca="false">IF(Supuestos!$C$8=1,MAX(0,ROUNDUP((D30-D31)/Supuestos!$C$57,0)),IF(D5=1,1,IF(D6=1,2,IF(D6=2,3,IF(D6=3,4,5)))))</f>
        <v>0</v>
      </c>
      <c r="E32" s="46" t="n">
        <f aca="false">IF(Supuestos!$C$8=1,MAX(0,ROUNDUP((E30-E31)/Supuestos!$C$57,0)),IF(E5=1,1,IF(E6=1,2,IF(E6=2,3,IF(E6=3,4,5)))))</f>
        <v>0</v>
      </c>
      <c r="F32" s="46" t="n">
        <f aca="false">IF(Supuestos!$C$8=1,MAX(0,ROUNDUP((F30-F31)/Supuestos!$C$57,0)),IF(F5=1,1,IF(F6=1,2,IF(F6=2,3,IF(F6=3,4,5)))))</f>
        <v>0</v>
      </c>
      <c r="G32" s="46" t="n">
        <f aca="false">IF(Supuestos!$C$8=1,MAX(0,ROUNDUP((G30-G31)/Supuestos!$C$57,0)),IF(G5=1,1,IF(G6=1,2,IF(G6=2,3,IF(G6=3,4,5)))))</f>
        <v>0</v>
      </c>
      <c r="H32" s="46" t="n">
        <f aca="false">IF(Supuestos!$C$8=1,MAX(0,ROUNDUP((H30-H31)/Supuestos!$C$57,0)),IF(H5=1,1,IF(H6=1,2,IF(H6=2,3,IF(H6=3,4,5)))))</f>
        <v>0</v>
      </c>
      <c r="I32" s="46" t="n">
        <f aca="false">IF(Supuestos!$C$8=1,MAX(0,ROUNDUP((I30-I31)/Supuestos!$C$57,0)),IF(I5=1,1,IF(I6=1,2,IF(I6=2,3,IF(I6=3,4,5)))))</f>
        <v>0</v>
      </c>
      <c r="J32" s="46" t="n">
        <f aca="false">IF(Supuestos!$C$8=1,MAX(0,ROUNDUP((J30-J31)/Supuestos!$C$57,0)),IF(J5=1,1,IF(J6=1,2,IF(J6=2,3,IF(J6=3,4,5)))))</f>
        <v>0</v>
      </c>
      <c r="K32" s="46" t="n">
        <f aca="false">IF(Supuestos!$C$8=1,MAX(0,ROUNDUP((K30-K31)/Supuestos!$C$57,0)),IF(K5=1,1,IF(K6=1,2,IF(K6=2,3,IF(K6=3,4,5)))))</f>
        <v>0</v>
      </c>
      <c r="L32" s="46" t="n">
        <f aca="false">IF(Supuestos!$C$8=1,MAX(0,ROUNDUP((L30-L31)/Supuestos!$C$57,0)),IF(L5=1,1,IF(L6=1,2,IF(L6=2,3,IF(L6=3,4,5)))))</f>
        <v>0</v>
      </c>
      <c r="M32" s="46" t="n">
        <f aca="false">IF(Supuestos!$C$8=1,MAX(0,ROUNDUP((M30-M31)/Supuestos!$C$57,0)),IF(M5=1,1,IF(M6=1,2,IF(M6=2,3,IF(M6=3,4,5)))))</f>
        <v>0</v>
      </c>
      <c r="N32" s="46" t="n">
        <f aca="false">IF(Supuestos!$C$8=1,MAX(0,ROUNDUP((N30-N31)/Supuestos!$C$57,0)),IF(N5=1,1,IF(N6=1,2,IF(N6=2,3,IF(N6=3,4,5)))))</f>
        <v>0</v>
      </c>
      <c r="O32" s="46" t="n">
        <f aca="false">IF(Supuestos!$C$8=1,MAX(0,ROUNDUP((O30-O31)/Supuestos!$C$57,0)),IF(O5=1,1,IF(O6=1,2,IF(O6=2,3,IF(O6=3,4,5)))))</f>
        <v>0</v>
      </c>
      <c r="P32" s="46" t="n">
        <f aca="false">IF(Supuestos!$C$8=1,MAX(0,ROUNDUP((P30-P31)/Supuestos!$C$57,0)),IF(P5=1,1,IF(P6=1,2,IF(P6=2,3,IF(P6=3,4,5)))))</f>
        <v>0</v>
      </c>
      <c r="Q32" s="46" t="n">
        <f aca="false">IF(Supuestos!$C$8=1,MAX(0,ROUNDUP((Q30-Q31)/Supuestos!$C$57,0)),IF(Q5=1,1,IF(Q6=1,2,IF(Q6=2,3,IF(Q6=3,4,5)))))</f>
        <v>0</v>
      </c>
      <c r="R32" s="46" t="n">
        <f aca="false">IF(Supuestos!$C$8=1,MAX(0,ROUNDUP((R30-R31)/Supuestos!$C$57,0)),IF(R5=1,1,IF(R6=1,2,IF(R6=2,3,IF(R6=3,4,5)))))</f>
        <v>0</v>
      </c>
      <c r="S32" s="46" t="n">
        <f aca="false">IF(Supuestos!$C$8=1,MAX(0,ROUNDUP((S30-S31)/Supuestos!$C$57,0)),IF(S5=1,1,IF(S6=1,2,IF(S6=2,3,IF(S6=3,4,5)))))</f>
        <v>0</v>
      </c>
      <c r="T32" s="46" t="n">
        <f aca="false">IF(Supuestos!$C$8=1,MAX(0,ROUNDUP((T30-T31)/Supuestos!$C$57,0)),IF(T5=1,1,IF(T6=1,2,IF(T6=2,3,IF(T6=3,4,5)))))</f>
        <v>0</v>
      </c>
      <c r="U32" s="46" t="n">
        <f aca="false">IF(Supuestos!$C$8=1,MAX(0,ROUNDUP((U30-U31)/Supuestos!$C$57,0)),IF(U5=1,1,IF(U6=1,2,IF(U6=2,3,IF(U6=3,4,5)))))</f>
        <v>0</v>
      </c>
      <c r="V32" s="46" t="n">
        <f aca="false">IF(Supuestos!$C$8=1,MAX(0,ROUNDUP((V30-V31)/Supuestos!$C$57,0)),IF(V5=1,1,IF(V6=1,2,IF(V6=2,3,IF(V6=3,4,5)))))</f>
        <v>0</v>
      </c>
      <c r="W32" s="46" t="n">
        <f aca="false">IF(Supuestos!$C$8=1,MAX(0,ROUNDUP((W30-W31)/Supuestos!$C$57,0)),IF(W5=1,1,IF(W6=1,2,IF(W6=2,3,IF(W6=3,4,5)))))</f>
        <v>1</v>
      </c>
      <c r="X32" s="46" t="n">
        <f aca="false">IF(Supuestos!$C$8=1,MAX(0,ROUNDUP((X30-X31)/Supuestos!$C$57,0)),IF(X5=1,1,IF(X6=1,2,IF(X6=2,3,IF(X6=3,4,5)))))</f>
        <v>1</v>
      </c>
      <c r="Y32" s="46" t="n">
        <f aca="false">IF(Supuestos!$C$8=1,MAX(0,ROUNDUP((Y30-Y31)/Supuestos!$C$57,0)),IF(Y5=1,1,IF(Y6=1,2,IF(Y6=2,3,IF(Y6=3,4,5)))))</f>
        <v>1</v>
      </c>
      <c r="Z32" s="46" t="n">
        <f aca="false">IF(Supuestos!$C$8=1,MAX(0,ROUNDUP((Z30-Z31)/Supuestos!$C$57,0)),IF(Z5=1,1,IF(Z6=1,2,IF(Z6=2,3,IF(Z6=3,4,5)))))</f>
        <v>1</v>
      </c>
      <c r="AA32" s="46" t="n">
        <f aca="false">IF(Supuestos!$C$8=1,MAX(0,ROUNDUP((AA30-AA31)/Supuestos!$C$57,0)),IF(AA5=1,1,IF(AA6=1,2,IF(AA6=2,3,IF(AA6=3,4,5)))))</f>
        <v>1</v>
      </c>
      <c r="AB32" s="46" t="n">
        <f aca="false">IF(Supuestos!$C$8=1,MAX(0,ROUNDUP((AB30-AB31)/Supuestos!$C$57,0)),IF(AB5=1,1,IF(AB6=1,2,IF(AB6=2,3,IF(AB6=3,4,5)))))</f>
        <v>1</v>
      </c>
      <c r="AC32" s="46" t="n">
        <f aca="false">IF(Supuestos!$C$8=1,MAX(0,ROUNDUP((AC30-AC31)/Supuestos!$C$57,0)),IF(AC5=1,1,IF(AC6=1,2,IF(AC6=2,3,IF(AC6=3,4,5)))))</f>
        <v>1</v>
      </c>
      <c r="AD32" s="46" t="n">
        <f aca="false">IF(Supuestos!$C$8=1,MAX(0,ROUNDUP((AD30-AD31)/Supuestos!$C$57,0)),IF(AD5=1,1,IF(AD6=1,2,IF(AD6=2,3,IF(AD6=3,4,5)))))</f>
        <v>1</v>
      </c>
      <c r="AE32" s="46" t="n">
        <f aca="false">IF(Supuestos!$C$8=1,MAX(0,ROUNDUP((AE30-AE31)/Supuestos!$C$57,0)),IF(AE5=1,1,IF(AE6=1,2,IF(AE6=2,3,IF(AE6=3,4,5)))))</f>
        <v>1</v>
      </c>
      <c r="AF32" s="46" t="n">
        <f aca="false">IF(Supuestos!$C$8=1,MAX(0,ROUNDUP((AF30-AF31)/Supuestos!$C$57,0)),IF(AF5=1,1,IF(AF6=1,2,IF(AF6=2,3,IF(AF6=3,4,5)))))</f>
        <v>1</v>
      </c>
      <c r="AG32" s="46" t="n">
        <f aca="false">IF(Supuestos!$C$8=1,MAX(0,ROUNDUP((AG30-AG31)/Supuestos!$C$57,0)),IF(AG5=1,1,IF(AG6=1,2,IF(AG6=2,3,IF(AG6=3,4,5)))))</f>
        <v>1</v>
      </c>
      <c r="AH32" s="46" t="n">
        <f aca="false">IF(Supuestos!$C$8=1,MAX(0,ROUNDUP((AH30-AH31)/Supuestos!$C$57,0)),IF(AH5=1,1,IF(AH6=1,2,IF(AH6=2,3,IF(AH6=3,4,5)))))</f>
        <v>1</v>
      </c>
      <c r="AI32" s="46" t="n">
        <f aca="false">IF(Supuestos!$C$8=1,MAX(0,ROUNDUP((AI30-AI31)/Supuestos!$C$57,0)),IF(AI5=1,1,IF(AI6=1,2,IF(AI6=2,3,IF(AI6=3,4,5)))))</f>
        <v>1</v>
      </c>
      <c r="AJ32" s="46" t="n">
        <f aca="false">IF(Supuestos!$C$8=1,MAX(0,ROUNDUP((AJ30-AJ31)/Supuestos!$C$57,0)),IF(AJ5=1,1,IF(AJ6=1,2,IF(AJ6=2,3,IF(AJ6=3,4,5)))))</f>
        <v>1</v>
      </c>
      <c r="AK32" s="46" t="n">
        <f aca="false">IF(Supuestos!$C$8=1,MAX(0,ROUNDUP((AK30-AK31)/Supuestos!$C$57,0)),IF(AK5=1,1,IF(AK6=1,2,IF(AK6=2,3,IF(AK6=3,4,5)))))</f>
        <v>2</v>
      </c>
      <c r="AL32" s="46" t="n">
        <f aca="false">IF(Supuestos!$C$8=1,MAX(0,ROUNDUP((AL30-AL31)/Supuestos!$C$57,0)),IF(AL5=1,1,IF(AL6=1,2,IF(AL6=2,3,IF(AL6=3,4,5)))))</f>
        <v>2</v>
      </c>
      <c r="AM32" s="46" t="n">
        <f aca="false">IF(Supuestos!$C$8=1,MAX(0,ROUNDUP((AM30-AM31)/Supuestos!$C$57,0)),IF(AM5=1,1,IF(AM6=1,2,IF(AM6=2,3,IF(AM6=3,4,5)))))</f>
        <v>2</v>
      </c>
      <c r="AN32" s="46" t="n">
        <f aca="false">IF(Supuestos!$C$8=1,MAX(0,ROUNDUP((AN30-AN31)/Supuestos!$C$57,0)),IF(AN5=1,1,IF(AN6=1,2,IF(AN6=2,3,IF(AN6=3,4,5)))))</f>
        <v>2</v>
      </c>
      <c r="AO32" s="46" t="n">
        <f aca="false">IF(Supuestos!$C$8=1,MAX(0,ROUNDUP((AO30-AO31)/Supuestos!$C$57,0)),IF(AO5=1,1,IF(AO6=1,2,IF(AO6=2,3,IF(AO6=3,4,5)))))</f>
        <v>2</v>
      </c>
      <c r="AP32" s="46" t="n">
        <f aca="false">IF(Supuestos!$C$8=1,MAX(0,ROUNDUP((AP30-AP31)/Supuestos!$C$57,0)),IF(AP5=1,1,IF(AP6=1,2,IF(AP6=2,3,IF(AP6=3,4,5)))))</f>
        <v>2</v>
      </c>
      <c r="AQ32" s="46" t="n">
        <f aca="false">IF(Supuestos!$C$8=1,MAX(0,ROUNDUP((AQ30-AQ31)/Supuestos!$C$57,0)),IF(AQ5=1,1,IF(AQ6=1,2,IF(AQ6=2,3,IF(AQ6=3,4,5)))))</f>
        <v>2</v>
      </c>
      <c r="AR32" s="46" t="n">
        <f aca="false">IF(Supuestos!$C$8=1,MAX(0,ROUNDUP((AR30-AR31)/Supuestos!$C$57,0)),IF(AR5=1,1,IF(AR6=1,2,IF(AR6=2,3,IF(AR6=3,4,5)))))</f>
        <v>2</v>
      </c>
      <c r="AS32" s="46" t="n">
        <f aca="false">IF(Supuestos!$C$8=1,MAX(0,ROUNDUP((AS30-AS31)/Supuestos!$C$57,0)),IF(AS5=1,1,IF(AS6=1,2,IF(AS6=2,3,IF(AS6=3,4,5)))))</f>
        <v>2</v>
      </c>
      <c r="AT32" s="46" t="n">
        <f aca="false">IF(Supuestos!$C$8=1,MAX(0,ROUNDUP((AT30-AT31)/Supuestos!$C$57,0)),IF(AT5=1,1,IF(AT6=1,2,IF(AT6=2,3,IF(AT6=3,4,5)))))</f>
        <v>2</v>
      </c>
      <c r="AU32" s="46" t="n">
        <f aca="false">IF(Supuestos!$C$8=1,MAX(0,ROUNDUP((AU30-AU31)/Supuestos!$C$57,0)),IF(AU5=1,1,IF(AU6=1,2,IF(AU6=2,3,IF(AU6=3,4,5)))))</f>
        <v>3</v>
      </c>
      <c r="AV32" s="46" t="n">
        <f aca="false">IF(Supuestos!$C$8=1,MAX(0,ROUNDUP((AV30-AV31)/Supuestos!$C$57,0)),IF(AV5=1,1,IF(AV6=1,2,IF(AV6=2,3,IF(AV6=3,4,5)))))</f>
        <v>3</v>
      </c>
      <c r="AW32" s="46" t="n">
        <f aca="false">IF(Supuestos!$C$8=1,MAX(0,ROUNDUP((AW30-AW31)/Supuestos!$C$57,0)),IF(AW5=1,1,IF(AW6=1,2,IF(AW6=2,3,IF(AW6=3,4,5)))))</f>
        <v>3</v>
      </c>
      <c r="AX32" s="46" t="n">
        <f aca="false">IF(Supuestos!$C$8=1,MAX(0,ROUNDUP((AX30-AX31)/Supuestos!$C$57,0)),IF(AX5=1,1,IF(AX6=1,2,IF(AX6=2,3,IF(AX6=3,4,5)))))</f>
        <v>3</v>
      </c>
      <c r="AY32" s="46" t="n">
        <f aca="false">IF(Supuestos!$C$8=1,MAX(0,ROUNDUP((AY30-AY31)/Supuestos!$C$57,0)),IF(AY5=1,1,IF(AY6=1,2,IF(AY6=2,3,IF(AY6=3,4,5)))))</f>
        <v>3</v>
      </c>
      <c r="AZ32" s="46" t="n">
        <f aca="false">IF(Supuestos!$C$8=1,MAX(0,ROUNDUP((AZ30-AZ31)/Supuestos!$C$57,0)),IF(AZ5=1,1,IF(AZ6=1,2,IF(AZ6=2,3,IF(AZ6=3,4,5)))))</f>
        <v>3</v>
      </c>
      <c r="BA32" s="46" t="n">
        <f aca="false">IF(Supuestos!$C$8=1,MAX(0,ROUNDUP((BA30-BA31)/Supuestos!$C$57,0)),IF(BA5=1,1,IF(BA6=1,2,IF(BA6=2,3,IF(BA6=3,4,5)))))</f>
        <v>3</v>
      </c>
      <c r="BB32" s="46" t="n">
        <f aca="false">IF(Supuestos!$C$8=1,MAX(0,ROUNDUP((BB30-BB31)/Supuestos!$C$57,0)),IF(BB5=1,1,IF(BB6=1,2,IF(BB6=2,3,IF(BB6=3,4,5)))))</f>
        <v>3</v>
      </c>
      <c r="BC32" s="46" t="n">
        <f aca="false">IF(Supuestos!$C$8=1,MAX(0,ROUNDUP((BC30-BC31)/Supuestos!$C$57,0)),IF(BC5=1,1,IF(BC6=1,2,IF(BC6=2,3,IF(BC6=3,4,5)))))</f>
        <v>3</v>
      </c>
      <c r="BD32" s="46" t="n">
        <f aca="false">IF(Supuestos!$C$8=1,MAX(0,ROUNDUP((BD30-BD31)/Supuestos!$C$57,0)),IF(BD5=1,1,IF(BD6=1,2,IF(BD6=2,3,IF(BD6=3,4,5)))))</f>
        <v>4</v>
      </c>
      <c r="BE32" s="46" t="n">
        <f aca="false">IF(Supuestos!$C$8=1,MAX(0,ROUNDUP((BE30-BE31)/Supuestos!$C$57,0)),IF(BE5=1,1,IF(BE6=1,2,IF(BE6=2,3,IF(BE6=3,4,5)))))</f>
        <v>4</v>
      </c>
      <c r="BF32" s="46" t="n">
        <f aca="false">IF(Supuestos!$C$8=1,MAX(0,ROUNDUP((BF30-BF31)/Supuestos!$C$57,0)),IF(BF5=1,1,IF(BF6=1,2,IF(BF6=2,3,IF(BF6=3,4,5)))))</f>
        <v>4</v>
      </c>
      <c r="BG32" s="46" t="n">
        <f aca="false">IF(Supuestos!$C$8=1,MAX(0,ROUNDUP((BG30-BG31)/Supuestos!$C$57,0)),IF(BG5=1,1,IF(BG6=1,2,IF(BG6=2,3,IF(BG6=3,4,5)))))</f>
        <v>4</v>
      </c>
      <c r="BH32" s="46" t="n">
        <f aca="false">IF(Supuestos!$C$8=1,MAX(0,ROUNDUP((BH30-BH31)/Supuestos!$C$57,0)),IF(BH5=1,1,IF(BH6=1,2,IF(BH6=2,3,IF(BH6=3,4,5)))))</f>
        <v>4</v>
      </c>
      <c r="BI32" s="46" t="n">
        <f aca="false">IF(Supuestos!$C$8=1,MAX(0,ROUNDUP((BI30-BI31)/Supuestos!$C$57,0)),IF(BI5=1,1,IF(BI6=1,2,IF(BI6=2,3,IF(BI6=3,4,5)))))</f>
        <v>4</v>
      </c>
      <c r="BJ32" s="46" t="n">
        <f aca="false">IF(Supuestos!$C$8=1,MAX(0,ROUNDUP((BJ30-BJ31)/Supuestos!$C$57,0)),IF(BJ5=1,1,IF(BJ6=1,2,IF(BJ6=2,3,IF(BJ6=3,4,5)))))</f>
        <v>4</v>
      </c>
    </row>
    <row r="33" customFormat="false" ht="15" hidden="false" customHeight="true" outlineLevel="0" collapsed="false">
      <c r="A33" s="10" t="s">
        <v>259</v>
      </c>
      <c r="B33" s="7" t="s">
        <v>146</v>
      </c>
      <c r="C33" s="43" t="n">
        <f aca="false">Supuestos!$C$50*(1+Supuestos!$C$39)^(C6-1)*(1+Supuestos!$C$48)+IF(Supuestos!$C$50*(1+Supuestos!$C$39)^(C6-1)&lt;=2*Supuestos!$C$37*(1+Supuestos!$C$39)^(C6-1),Supuestos!$C$38*(1+Supuestos!$C$39)^(C6-1)*(1+Supuestos!$C$49),0)</f>
        <v>3060125.177</v>
      </c>
      <c r="D33" s="43" t="n">
        <f aca="false">Supuestos!$C$50*(1+Supuestos!$C$39)^(D6-1)*(1+Supuestos!$C$48)+IF(Supuestos!$C$50*(1+Supuestos!$C$39)^(D6-1)&lt;=2*Supuestos!$C$37*(1+Supuestos!$C$39)^(D6-1),Supuestos!$C$38*(1+Supuestos!$C$39)^(D6-1)*(1+Supuestos!$C$49),0)</f>
        <v>3060125.177</v>
      </c>
      <c r="E33" s="43" t="n">
        <f aca="false">Supuestos!$C$50*(1+Supuestos!$C$39)^(E6-1)*(1+Supuestos!$C$48)+IF(Supuestos!$C$50*(1+Supuestos!$C$39)^(E6-1)&lt;=2*Supuestos!$C$37*(1+Supuestos!$C$39)^(E6-1),Supuestos!$C$38*(1+Supuestos!$C$39)^(E6-1)*(1+Supuestos!$C$49),0)</f>
        <v>3060125.177</v>
      </c>
      <c r="F33" s="43" t="n">
        <f aca="false">Supuestos!$C$50*(1+Supuestos!$C$39)^(F6-1)*(1+Supuestos!$C$48)+IF(Supuestos!$C$50*(1+Supuestos!$C$39)^(F6-1)&lt;=2*Supuestos!$C$37*(1+Supuestos!$C$39)^(F6-1),Supuestos!$C$38*(1+Supuestos!$C$39)^(F6-1)*(1+Supuestos!$C$49),0)</f>
        <v>3060125.177</v>
      </c>
      <c r="G33" s="43" t="n">
        <f aca="false">Supuestos!$C$50*(1+Supuestos!$C$39)^(G6-1)*(1+Supuestos!$C$48)+IF(Supuestos!$C$50*(1+Supuestos!$C$39)^(G6-1)&lt;=2*Supuestos!$C$37*(1+Supuestos!$C$39)^(G6-1),Supuestos!$C$38*(1+Supuestos!$C$39)^(G6-1)*(1+Supuestos!$C$49),0)</f>
        <v>3060125.177</v>
      </c>
      <c r="H33" s="43" t="n">
        <f aca="false">Supuestos!$C$50*(1+Supuestos!$C$39)^(H6-1)*(1+Supuestos!$C$48)+IF(Supuestos!$C$50*(1+Supuestos!$C$39)^(H6-1)&lt;=2*Supuestos!$C$37*(1+Supuestos!$C$39)^(H6-1),Supuestos!$C$38*(1+Supuestos!$C$39)^(H6-1)*(1+Supuestos!$C$49),0)</f>
        <v>3060125.177</v>
      </c>
      <c r="I33" s="43" t="n">
        <f aca="false">Supuestos!$C$50*(1+Supuestos!$C$39)^(I6-1)*(1+Supuestos!$C$48)+IF(Supuestos!$C$50*(1+Supuestos!$C$39)^(I6-1)&lt;=2*Supuestos!$C$37*(1+Supuestos!$C$39)^(I6-1),Supuestos!$C$38*(1+Supuestos!$C$39)^(I6-1)*(1+Supuestos!$C$49),0)</f>
        <v>3060125.177</v>
      </c>
      <c r="J33" s="43" t="n">
        <f aca="false">Supuestos!$C$50*(1+Supuestos!$C$39)^(J6-1)*(1+Supuestos!$C$48)+IF(Supuestos!$C$50*(1+Supuestos!$C$39)^(J6-1)&lt;=2*Supuestos!$C$37*(1+Supuestos!$C$39)^(J6-1),Supuestos!$C$38*(1+Supuestos!$C$39)^(J6-1)*(1+Supuestos!$C$49),0)</f>
        <v>3060125.177</v>
      </c>
      <c r="K33" s="43" t="n">
        <f aca="false">Supuestos!$C$50*(1+Supuestos!$C$39)^(K6-1)*(1+Supuestos!$C$48)+IF(Supuestos!$C$50*(1+Supuestos!$C$39)^(K6-1)&lt;=2*Supuestos!$C$37*(1+Supuestos!$C$39)^(K6-1),Supuestos!$C$38*(1+Supuestos!$C$39)^(K6-1)*(1+Supuestos!$C$49),0)</f>
        <v>3060125.177</v>
      </c>
      <c r="L33" s="43" t="n">
        <f aca="false">Supuestos!$C$50*(1+Supuestos!$C$39)^(L6-1)*(1+Supuestos!$C$48)+IF(Supuestos!$C$50*(1+Supuestos!$C$39)^(L6-1)&lt;=2*Supuestos!$C$37*(1+Supuestos!$C$39)^(L6-1),Supuestos!$C$38*(1+Supuestos!$C$39)^(L6-1)*(1+Supuestos!$C$49),0)</f>
        <v>3060125.177</v>
      </c>
      <c r="M33" s="43" t="n">
        <f aca="false">Supuestos!$C$50*(1+Supuestos!$C$39)^(M6-1)*(1+Supuestos!$C$48)+IF(Supuestos!$C$50*(1+Supuestos!$C$39)^(M6-1)&lt;=2*Supuestos!$C$37*(1+Supuestos!$C$39)^(M6-1),Supuestos!$C$38*(1+Supuestos!$C$39)^(M6-1)*(1+Supuestos!$C$49),0)</f>
        <v>3060125.177</v>
      </c>
      <c r="N33" s="43" t="n">
        <f aca="false">Supuestos!$C$50*(1+Supuestos!$C$39)^(N6-1)*(1+Supuestos!$C$48)+IF(Supuestos!$C$50*(1+Supuestos!$C$39)^(N6-1)&lt;=2*Supuestos!$C$37*(1+Supuestos!$C$39)^(N6-1),Supuestos!$C$38*(1+Supuestos!$C$39)^(N6-1)*(1+Supuestos!$C$49),0)</f>
        <v>3060125.177</v>
      </c>
      <c r="O33" s="43" t="n">
        <f aca="false">Supuestos!$C$50*(1+Supuestos!$C$39)^(O6-1)*(1+Supuestos!$C$48)+IF(Supuestos!$C$50*(1+Supuestos!$C$39)^(O6-1)&lt;=2*Supuestos!$C$37*(1+Supuestos!$C$39)^(O6-1),Supuestos!$C$38*(1+Supuestos!$C$39)^(O6-1)*(1+Supuestos!$C$49),0)</f>
        <v>3213131.43585</v>
      </c>
      <c r="P33" s="43" t="n">
        <f aca="false">Supuestos!$C$50*(1+Supuestos!$C$39)^(P6-1)*(1+Supuestos!$C$48)+IF(Supuestos!$C$50*(1+Supuestos!$C$39)^(P6-1)&lt;=2*Supuestos!$C$37*(1+Supuestos!$C$39)^(P6-1),Supuestos!$C$38*(1+Supuestos!$C$39)^(P6-1)*(1+Supuestos!$C$49),0)</f>
        <v>3213131.43585</v>
      </c>
      <c r="Q33" s="43" t="n">
        <f aca="false">Supuestos!$C$50*(1+Supuestos!$C$39)^(Q6-1)*(1+Supuestos!$C$48)+IF(Supuestos!$C$50*(1+Supuestos!$C$39)^(Q6-1)&lt;=2*Supuestos!$C$37*(1+Supuestos!$C$39)^(Q6-1),Supuestos!$C$38*(1+Supuestos!$C$39)^(Q6-1)*(1+Supuestos!$C$49),0)</f>
        <v>3213131.43585</v>
      </c>
      <c r="R33" s="43" t="n">
        <f aca="false">Supuestos!$C$50*(1+Supuestos!$C$39)^(R6-1)*(1+Supuestos!$C$48)+IF(Supuestos!$C$50*(1+Supuestos!$C$39)^(R6-1)&lt;=2*Supuestos!$C$37*(1+Supuestos!$C$39)^(R6-1),Supuestos!$C$38*(1+Supuestos!$C$39)^(R6-1)*(1+Supuestos!$C$49),0)</f>
        <v>3213131.43585</v>
      </c>
      <c r="S33" s="43" t="n">
        <f aca="false">Supuestos!$C$50*(1+Supuestos!$C$39)^(S6-1)*(1+Supuestos!$C$48)+IF(Supuestos!$C$50*(1+Supuestos!$C$39)^(S6-1)&lt;=2*Supuestos!$C$37*(1+Supuestos!$C$39)^(S6-1),Supuestos!$C$38*(1+Supuestos!$C$39)^(S6-1)*(1+Supuestos!$C$49),0)</f>
        <v>3213131.43585</v>
      </c>
      <c r="T33" s="43" t="n">
        <f aca="false">Supuestos!$C$50*(1+Supuestos!$C$39)^(T6-1)*(1+Supuestos!$C$48)+IF(Supuestos!$C$50*(1+Supuestos!$C$39)^(T6-1)&lt;=2*Supuestos!$C$37*(1+Supuestos!$C$39)^(T6-1),Supuestos!$C$38*(1+Supuestos!$C$39)^(T6-1)*(1+Supuestos!$C$49),0)</f>
        <v>3213131.43585</v>
      </c>
      <c r="U33" s="43" t="n">
        <f aca="false">Supuestos!$C$50*(1+Supuestos!$C$39)^(U6-1)*(1+Supuestos!$C$48)+IF(Supuestos!$C$50*(1+Supuestos!$C$39)^(U6-1)&lt;=2*Supuestos!$C$37*(1+Supuestos!$C$39)^(U6-1),Supuestos!$C$38*(1+Supuestos!$C$39)^(U6-1)*(1+Supuestos!$C$49),0)</f>
        <v>3213131.43585</v>
      </c>
      <c r="V33" s="43" t="n">
        <f aca="false">Supuestos!$C$50*(1+Supuestos!$C$39)^(V6-1)*(1+Supuestos!$C$48)+IF(Supuestos!$C$50*(1+Supuestos!$C$39)^(V6-1)&lt;=2*Supuestos!$C$37*(1+Supuestos!$C$39)^(V6-1),Supuestos!$C$38*(1+Supuestos!$C$39)^(V6-1)*(1+Supuestos!$C$49),0)</f>
        <v>3213131.43585</v>
      </c>
      <c r="W33" s="43" t="n">
        <f aca="false">Supuestos!$C$50*(1+Supuestos!$C$39)^(W6-1)*(1+Supuestos!$C$48)+IF(Supuestos!$C$50*(1+Supuestos!$C$39)^(W6-1)&lt;=2*Supuestos!$C$37*(1+Supuestos!$C$39)^(W6-1),Supuestos!$C$38*(1+Supuestos!$C$39)^(W6-1)*(1+Supuestos!$C$49),0)</f>
        <v>3213131.43585</v>
      </c>
      <c r="X33" s="43" t="n">
        <f aca="false">Supuestos!$C$50*(1+Supuestos!$C$39)^(X6-1)*(1+Supuestos!$C$48)+IF(Supuestos!$C$50*(1+Supuestos!$C$39)^(X6-1)&lt;=2*Supuestos!$C$37*(1+Supuestos!$C$39)^(X6-1),Supuestos!$C$38*(1+Supuestos!$C$39)^(X6-1)*(1+Supuestos!$C$49),0)</f>
        <v>3213131.43585</v>
      </c>
      <c r="Y33" s="43" t="n">
        <f aca="false">Supuestos!$C$50*(1+Supuestos!$C$39)^(Y6-1)*(1+Supuestos!$C$48)+IF(Supuestos!$C$50*(1+Supuestos!$C$39)^(Y6-1)&lt;=2*Supuestos!$C$37*(1+Supuestos!$C$39)^(Y6-1),Supuestos!$C$38*(1+Supuestos!$C$39)^(Y6-1)*(1+Supuestos!$C$49),0)</f>
        <v>3213131.43585</v>
      </c>
      <c r="Z33" s="43" t="n">
        <f aca="false">Supuestos!$C$50*(1+Supuestos!$C$39)^(Z6-1)*(1+Supuestos!$C$48)+IF(Supuestos!$C$50*(1+Supuestos!$C$39)^(Z6-1)&lt;=2*Supuestos!$C$37*(1+Supuestos!$C$39)^(Z6-1),Supuestos!$C$38*(1+Supuestos!$C$39)^(Z6-1)*(1+Supuestos!$C$49),0)</f>
        <v>3213131.43585</v>
      </c>
      <c r="AA33" s="43" t="n">
        <f aca="false">Supuestos!$C$50*(1+Supuestos!$C$39)^(AA6-1)*(1+Supuestos!$C$48)+IF(Supuestos!$C$50*(1+Supuestos!$C$39)^(AA6-1)&lt;=2*Supuestos!$C$37*(1+Supuestos!$C$39)^(AA6-1),Supuestos!$C$38*(1+Supuestos!$C$39)^(AA6-1)*(1+Supuestos!$C$49),0)</f>
        <v>3373788.0076425</v>
      </c>
      <c r="AB33" s="43" t="n">
        <f aca="false">Supuestos!$C$50*(1+Supuestos!$C$39)^(AB6-1)*(1+Supuestos!$C$48)+IF(Supuestos!$C$50*(1+Supuestos!$C$39)^(AB6-1)&lt;=2*Supuestos!$C$37*(1+Supuestos!$C$39)^(AB6-1),Supuestos!$C$38*(1+Supuestos!$C$39)^(AB6-1)*(1+Supuestos!$C$49),0)</f>
        <v>3373788.0076425</v>
      </c>
      <c r="AC33" s="43" t="n">
        <f aca="false">Supuestos!$C$50*(1+Supuestos!$C$39)^(AC6-1)*(1+Supuestos!$C$48)+IF(Supuestos!$C$50*(1+Supuestos!$C$39)^(AC6-1)&lt;=2*Supuestos!$C$37*(1+Supuestos!$C$39)^(AC6-1),Supuestos!$C$38*(1+Supuestos!$C$39)^(AC6-1)*(1+Supuestos!$C$49),0)</f>
        <v>3373788.0076425</v>
      </c>
      <c r="AD33" s="43" t="n">
        <f aca="false">Supuestos!$C$50*(1+Supuestos!$C$39)^(AD6-1)*(1+Supuestos!$C$48)+IF(Supuestos!$C$50*(1+Supuestos!$C$39)^(AD6-1)&lt;=2*Supuestos!$C$37*(1+Supuestos!$C$39)^(AD6-1),Supuestos!$C$38*(1+Supuestos!$C$39)^(AD6-1)*(1+Supuestos!$C$49),0)</f>
        <v>3373788.0076425</v>
      </c>
      <c r="AE33" s="43" t="n">
        <f aca="false">Supuestos!$C$50*(1+Supuestos!$C$39)^(AE6-1)*(1+Supuestos!$C$48)+IF(Supuestos!$C$50*(1+Supuestos!$C$39)^(AE6-1)&lt;=2*Supuestos!$C$37*(1+Supuestos!$C$39)^(AE6-1),Supuestos!$C$38*(1+Supuestos!$C$39)^(AE6-1)*(1+Supuestos!$C$49),0)</f>
        <v>3373788.0076425</v>
      </c>
      <c r="AF33" s="43" t="n">
        <f aca="false">Supuestos!$C$50*(1+Supuestos!$C$39)^(AF6-1)*(1+Supuestos!$C$48)+IF(Supuestos!$C$50*(1+Supuestos!$C$39)^(AF6-1)&lt;=2*Supuestos!$C$37*(1+Supuestos!$C$39)^(AF6-1),Supuestos!$C$38*(1+Supuestos!$C$39)^(AF6-1)*(1+Supuestos!$C$49),0)</f>
        <v>3373788.0076425</v>
      </c>
      <c r="AG33" s="43" t="n">
        <f aca="false">Supuestos!$C$50*(1+Supuestos!$C$39)^(AG6-1)*(1+Supuestos!$C$48)+IF(Supuestos!$C$50*(1+Supuestos!$C$39)^(AG6-1)&lt;=2*Supuestos!$C$37*(1+Supuestos!$C$39)^(AG6-1),Supuestos!$C$38*(1+Supuestos!$C$39)^(AG6-1)*(1+Supuestos!$C$49),0)</f>
        <v>3373788.0076425</v>
      </c>
      <c r="AH33" s="43" t="n">
        <f aca="false">Supuestos!$C$50*(1+Supuestos!$C$39)^(AH6-1)*(1+Supuestos!$C$48)+IF(Supuestos!$C$50*(1+Supuestos!$C$39)^(AH6-1)&lt;=2*Supuestos!$C$37*(1+Supuestos!$C$39)^(AH6-1),Supuestos!$C$38*(1+Supuestos!$C$39)^(AH6-1)*(1+Supuestos!$C$49),0)</f>
        <v>3373788.0076425</v>
      </c>
      <c r="AI33" s="43" t="n">
        <f aca="false">Supuestos!$C$50*(1+Supuestos!$C$39)^(AI6-1)*(1+Supuestos!$C$48)+IF(Supuestos!$C$50*(1+Supuestos!$C$39)^(AI6-1)&lt;=2*Supuestos!$C$37*(1+Supuestos!$C$39)^(AI6-1),Supuestos!$C$38*(1+Supuestos!$C$39)^(AI6-1)*(1+Supuestos!$C$49),0)</f>
        <v>3373788.0076425</v>
      </c>
      <c r="AJ33" s="43" t="n">
        <f aca="false">Supuestos!$C$50*(1+Supuestos!$C$39)^(AJ6-1)*(1+Supuestos!$C$48)+IF(Supuestos!$C$50*(1+Supuestos!$C$39)^(AJ6-1)&lt;=2*Supuestos!$C$37*(1+Supuestos!$C$39)^(AJ6-1),Supuestos!$C$38*(1+Supuestos!$C$39)^(AJ6-1)*(1+Supuestos!$C$49),0)</f>
        <v>3373788.0076425</v>
      </c>
      <c r="AK33" s="43" t="n">
        <f aca="false">Supuestos!$C$50*(1+Supuestos!$C$39)^(AK6-1)*(1+Supuestos!$C$48)+IF(Supuestos!$C$50*(1+Supuestos!$C$39)^(AK6-1)&lt;=2*Supuestos!$C$37*(1+Supuestos!$C$39)^(AK6-1),Supuestos!$C$38*(1+Supuestos!$C$39)^(AK6-1)*(1+Supuestos!$C$49),0)</f>
        <v>3373788.0076425</v>
      </c>
      <c r="AL33" s="43" t="n">
        <f aca="false">Supuestos!$C$50*(1+Supuestos!$C$39)^(AL6-1)*(1+Supuestos!$C$48)+IF(Supuestos!$C$50*(1+Supuestos!$C$39)^(AL6-1)&lt;=2*Supuestos!$C$37*(1+Supuestos!$C$39)^(AL6-1),Supuestos!$C$38*(1+Supuestos!$C$39)^(AL6-1)*(1+Supuestos!$C$49),0)</f>
        <v>3373788.0076425</v>
      </c>
      <c r="AM33" s="43" t="n">
        <f aca="false">Supuestos!$C$50*(1+Supuestos!$C$39)^(AM6-1)*(1+Supuestos!$C$48)+IF(Supuestos!$C$50*(1+Supuestos!$C$39)^(AM6-1)&lt;=2*Supuestos!$C$37*(1+Supuestos!$C$39)^(AM6-1),Supuestos!$C$38*(1+Supuestos!$C$39)^(AM6-1)*(1+Supuestos!$C$49),0)</f>
        <v>3542477.40802463</v>
      </c>
      <c r="AN33" s="43" t="n">
        <f aca="false">Supuestos!$C$50*(1+Supuestos!$C$39)^(AN6-1)*(1+Supuestos!$C$48)+IF(Supuestos!$C$50*(1+Supuestos!$C$39)^(AN6-1)&lt;=2*Supuestos!$C$37*(1+Supuestos!$C$39)^(AN6-1),Supuestos!$C$38*(1+Supuestos!$C$39)^(AN6-1)*(1+Supuestos!$C$49),0)</f>
        <v>3542477.40802463</v>
      </c>
      <c r="AO33" s="43" t="n">
        <f aca="false">Supuestos!$C$50*(1+Supuestos!$C$39)^(AO6-1)*(1+Supuestos!$C$48)+IF(Supuestos!$C$50*(1+Supuestos!$C$39)^(AO6-1)&lt;=2*Supuestos!$C$37*(1+Supuestos!$C$39)^(AO6-1),Supuestos!$C$38*(1+Supuestos!$C$39)^(AO6-1)*(1+Supuestos!$C$49),0)</f>
        <v>3542477.40802463</v>
      </c>
      <c r="AP33" s="43" t="n">
        <f aca="false">Supuestos!$C$50*(1+Supuestos!$C$39)^(AP6-1)*(1+Supuestos!$C$48)+IF(Supuestos!$C$50*(1+Supuestos!$C$39)^(AP6-1)&lt;=2*Supuestos!$C$37*(1+Supuestos!$C$39)^(AP6-1),Supuestos!$C$38*(1+Supuestos!$C$39)^(AP6-1)*(1+Supuestos!$C$49),0)</f>
        <v>3542477.40802463</v>
      </c>
      <c r="AQ33" s="43" t="n">
        <f aca="false">Supuestos!$C$50*(1+Supuestos!$C$39)^(AQ6-1)*(1+Supuestos!$C$48)+IF(Supuestos!$C$50*(1+Supuestos!$C$39)^(AQ6-1)&lt;=2*Supuestos!$C$37*(1+Supuestos!$C$39)^(AQ6-1),Supuestos!$C$38*(1+Supuestos!$C$39)^(AQ6-1)*(1+Supuestos!$C$49),0)</f>
        <v>3542477.40802463</v>
      </c>
      <c r="AR33" s="43" t="n">
        <f aca="false">Supuestos!$C$50*(1+Supuestos!$C$39)^(AR6-1)*(1+Supuestos!$C$48)+IF(Supuestos!$C$50*(1+Supuestos!$C$39)^(AR6-1)&lt;=2*Supuestos!$C$37*(1+Supuestos!$C$39)^(AR6-1),Supuestos!$C$38*(1+Supuestos!$C$39)^(AR6-1)*(1+Supuestos!$C$49),0)</f>
        <v>3542477.40802463</v>
      </c>
      <c r="AS33" s="43" t="n">
        <f aca="false">Supuestos!$C$50*(1+Supuestos!$C$39)^(AS6-1)*(1+Supuestos!$C$48)+IF(Supuestos!$C$50*(1+Supuestos!$C$39)^(AS6-1)&lt;=2*Supuestos!$C$37*(1+Supuestos!$C$39)^(AS6-1),Supuestos!$C$38*(1+Supuestos!$C$39)^(AS6-1)*(1+Supuestos!$C$49),0)</f>
        <v>3542477.40802463</v>
      </c>
      <c r="AT33" s="43" t="n">
        <f aca="false">Supuestos!$C$50*(1+Supuestos!$C$39)^(AT6-1)*(1+Supuestos!$C$48)+IF(Supuestos!$C$50*(1+Supuestos!$C$39)^(AT6-1)&lt;=2*Supuestos!$C$37*(1+Supuestos!$C$39)^(AT6-1),Supuestos!$C$38*(1+Supuestos!$C$39)^(AT6-1)*(1+Supuestos!$C$49),0)</f>
        <v>3542477.40802463</v>
      </c>
      <c r="AU33" s="43" t="n">
        <f aca="false">Supuestos!$C$50*(1+Supuestos!$C$39)^(AU6-1)*(1+Supuestos!$C$48)+IF(Supuestos!$C$50*(1+Supuestos!$C$39)^(AU6-1)&lt;=2*Supuestos!$C$37*(1+Supuestos!$C$39)^(AU6-1),Supuestos!$C$38*(1+Supuestos!$C$39)^(AU6-1)*(1+Supuestos!$C$49),0)</f>
        <v>3542477.40802463</v>
      </c>
      <c r="AV33" s="43" t="n">
        <f aca="false">Supuestos!$C$50*(1+Supuestos!$C$39)^(AV6-1)*(1+Supuestos!$C$48)+IF(Supuestos!$C$50*(1+Supuestos!$C$39)^(AV6-1)&lt;=2*Supuestos!$C$37*(1+Supuestos!$C$39)^(AV6-1),Supuestos!$C$38*(1+Supuestos!$C$39)^(AV6-1)*(1+Supuestos!$C$49),0)</f>
        <v>3542477.40802463</v>
      </c>
      <c r="AW33" s="43" t="n">
        <f aca="false">Supuestos!$C$50*(1+Supuestos!$C$39)^(AW6-1)*(1+Supuestos!$C$48)+IF(Supuestos!$C$50*(1+Supuestos!$C$39)^(AW6-1)&lt;=2*Supuestos!$C$37*(1+Supuestos!$C$39)^(AW6-1),Supuestos!$C$38*(1+Supuestos!$C$39)^(AW6-1)*(1+Supuestos!$C$49),0)</f>
        <v>3542477.40802463</v>
      </c>
      <c r="AX33" s="43" t="n">
        <f aca="false">Supuestos!$C$50*(1+Supuestos!$C$39)^(AX6-1)*(1+Supuestos!$C$48)+IF(Supuestos!$C$50*(1+Supuestos!$C$39)^(AX6-1)&lt;=2*Supuestos!$C$37*(1+Supuestos!$C$39)^(AX6-1),Supuestos!$C$38*(1+Supuestos!$C$39)^(AX6-1)*(1+Supuestos!$C$49),0)</f>
        <v>3542477.40802463</v>
      </c>
      <c r="AY33" s="43" t="n">
        <f aca="false">Supuestos!$C$50*(1+Supuestos!$C$39)^(AY6-1)*(1+Supuestos!$C$48)+IF(Supuestos!$C$50*(1+Supuestos!$C$39)^(AY6-1)&lt;=2*Supuestos!$C$37*(1+Supuestos!$C$39)^(AY6-1),Supuestos!$C$38*(1+Supuestos!$C$39)^(AY6-1)*(1+Supuestos!$C$49),0)</f>
        <v>3719601.27842586</v>
      </c>
      <c r="AZ33" s="43" t="n">
        <f aca="false">Supuestos!$C$50*(1+Supuestos!$C$39)^(AZ6-1)*(1+Supuestos!$C$48)+IF(Supuestos!$C$50*(1+Supuestos!$C$39)^(AZ6-1)&lt;=2*Supuestos!$C$37*(1+Supuestos!$C$39)^(AZ6-1),Supuestos!$C$38*(1+Supuestos!$C$39)^(AZ6-1)*(1+Supuestos!$C$49),0)</f>
        <v>3719601.27842586</v>
      </c>
      <c r="BA33" s="43" t="n">
        <f aca="false">Supuestos!$C$50*(1+Supuestos!$C$39)^(BA6-1)*(1+Supuestos!$C$48)+IF(Supuestos!$C$50*(1+Supuestos!$C$39)^(BA6-1)&lt;=2*Supuestos!$C$37*(1+Supuestos!$C$39)^(BA6-1),Supuestos!$C$38*(1+Supuestos!$C$39)^(BA6-1)*(1+Supuestos!$C$49),0)</f>
        <v>3719601.27842586</v>
      </c>
      <c r="BB33" s="43" t="n">
        <f aca="false">Supuestos!$C$50*(1+Supuestos!$C$39)^(BB6-1)*(1+Supuestos!$C$48)+IF(Supuestos!$C$50*(1+Supuestos!$C$39)^(BB6-1)&lt;=2*Supuestos!$C$37*(1+Supuestos!$C$39)^(BB6-1),Supuestos!$C$38*(1+Supuestos!$C$39)^(BB6-1)*(1+Supuestos!$C$49),0)</f>
        <v>3719601.27842586</v>
      </c>
      <c r="BC33" s="43" t="n">
        <f aca="false">Supuestos!$C$50*(1+Supuestos!$C$39)^(BC6-1)*(1+Supuestos!$C$48)+IF(Supuestos!$C$50*(1+Supuestos!$C$39)^(BC6-1)&lt;=2*Supuestos!$C$37*(1+Supuestos!$C$39)^(BC6-1),Supuestos!$C$38*(1+Supuestos!$C$39)^(BC6-1)*(1+Supuestos!$C$49),0)</f>
        <v>3719601.27842586</v>
      </c>
      <c r="BD33" s="43" t="n">
        <f aca="false">Supuestos!$C$50*(1+Supuestos!$C$39)^(BD6-1)*(1+Supuestos!$C$48)+IF(Supuestos!$C$50*(1+Supuestos!$C$39)^(BD6-1)&lt;=2*Supuestos!$C$37*(1+Supuestos!$C$39)^(BD6-1),Supuestos!$C$38*(1+Supuestos!$C$39)^(BD6-1)*(1+Supuestos!$C$49),0)</f>
        <v>3719601.27842586</v>
      </c>
      <c r="BE33" s="43" t="n">
        <f aca="false">Supuestos!$C$50*(1+Supuestos!$C$39)^(BE6-1)*(1+Supuestos!$C$48)+IF(Supuestos!$C$50*(1+Supuestos!$C$39)^(BE6-1)&lt;=2*Supuestos!$C$37*(1+Supuestos!$C$39)^(BE6-1),Supuestos!$C$38*(1+Supuestos!$C$39)^(BE6-1)*(1+Supuestos!$C$49),0)</f>
        <v>3719601.27842586</v>
      </c>
      <c r="BF33" s="43" t="n">
        <f aca="false">Supuestos!$C$50*(1+Supuestos!$C$39)^(BF6-1)*(1+Supuestos!$C$48)+IF(Supuestos!$C$50*(1+Supuestos!$C$39)^(BF6-1)&lt;=2*Supuestos!$C$37*(1+Supuestos!$C$39)^(BF6-1),Supuestos!$C$38*(1+Supuestos!$C$39)^(BF6-1)*(1+Supuestos!$C$49),0)</f>
        <v>3719601.27842586</v>
      </c>
      <c r="BG33" s="43" t="n">
        <f aca="false">Supuestos!$C$50*(1+Supuestos!$C$39)^(BG6-1)*(1+Supuestos!$C$48)+IF(Supuestos!$C$50*(1+Supuestos!$C$39)^(BG6-1)&lt;=2*Supuestos!$C$37*(1+Supuestos!$C$39)^(BG6-1),Supuestos!$C$38*(1+Supuestos!$C$39)^(BG6-1)*(1+Supuestos!$C$49),0)</f>
        <v>3719601.27842586</v>
      </c>
      <c r="BH33" s="43" t="n">
        <f aca="false">Supuestos!$C$50*(1+Supuestos!$C$39)^(BH6-1)*(1+Supuestos!$C$48)+IF(Supuestos!$C$50*(1+Supuestos!$C$39)^(BH6-1)&lt;=2*Supuestos!$C$37*(1+Supuestos!$C$39)^(BH6-1),Supuestos!$C$38*(1+Supuestos!$C$39)^(BH6-1)*(1+Supuestos!$C$49),0)</f>
        <v>3719601.27842586</v>
      </c>
      <c r="BI33" s="43" t="n">
        <f aca="false">Supuestos!$C$50*(1+Supuestos!$C$39)^(BI6-1)*(1+Supuestos!$C$48)+IF(Supuestos!$C$50*(1+Supuestos!$C$39)^(BI6-1)&lt;=2*Supuestos!$C$37*(1+Supuestos!$C$39)^(BI6-1),Supuestos!$C$38*(1+Supuestos!$C$39)^(BI6-1)*(1+Supuestos!$C$49),0)</f>
        <v>3719601.27842586</v>
      </c>
      <c r="BJ33" s="43" t="n">
        <f aca="false">Supuestos!$C$50*(1+Supuestos!$C$39)^(BJ6-1)*(1+Supuestos!$C$48)+IF(Supuestos!$C$50*(1+Supuestos!$C$39)^(BJ6-1)&lt;=2*Supuestos!$C$37*(1+Supuestos!$C$39)^(BJ6-1),Supuestos!$C$38*(1+Supuestos!$C$39)^(BJ6-1)*(1+Supuestos!$C$49),0)</f>
        <v>3719601.27842586</v>
      </c>
    </row>
    <row r="34" customFormat="false" ht="15" hidden="false" customHeight="true" outlineLevel="0" collapsed="false">
      <c r="A34" s="10" t="s">
        <v>197</v>
      </c>
      <c r="B34" s="7" t="s">
        <v>146</v>
      </c>
      <c r="C34" s="43" t="n">
        <f aca="false">C32*C33</f>
        <v>0</v>
      </c>
      <c r="D34" s="43" t="n">
        <f aca="false">D32*D33</f>
        <v>0</v>
      </c>
      <c r="E34" s="43" t="n">
        <f aca="false">E32*E33</f>
        <v>0</v>
      </c>
      <c r="F34" s="43" t="n">
        <f aca="false">F32*F33</f>
        <v>0</v>
      </c>
      <c r="G34" s="43" t="n">
        <f aca="false">G32*G33</f>
        <v>0</v>
      </c>
      <c r="H34" s="43" t="n">
        <f aca="false">H32*H33</f>
        <v>0</v>
      </c>
      <c r="I34" s="43" t="n">
        <f aca="false">I32*I33</f>
        <v>0</v>
      </c>
      <c r="J34" s="43" t="n">
        <f aca="false">J32*J33</f>
        <v>0</v>
      </c>
      <c r="K34" s="43" t="n">
        <f aca="false">K32*K33</f>
        <v>0</v>
      </c>
      <c r="L34" s="43" t="n">
        <f aca="false">L32*L33</f>
        <v>0</v>
      </c>
      <c r="M34" s="43" t="n">
        <f aca="false">M32*M33</f>
        <v>0</v>
      </c>
      <c r="N34" s="43" t="n">
        <f aca="false">N32*N33</f>
        <v>0</v>
      </c>
      <c r="O34" s="43" t="n">
        <f aca="false">O32*O33</f>
        <v>0</v>
      </c>
      <c r="P34" s="43" t="n">
        <f aca="false">P32*P33</f>
        <v>0</v>
      </c>
      <c r="Q34" s="43" t="n">
        <f aca="false">Q32*Q33</f>
        <v>0</v>
      </c>
      <c r="R34" s="43" t="n">
        <f aca="false">R32*R33</f>
        <v>0</v>
      </c>
      <c r="S34" s="43" t="n">
        <f aca="false">S32*S33</f>
        <v>0</v>
      </c>
      <c r="T34" s="43" t="n">
        <f aca="false">T32*T33</f>
        <v>0</v>
      </c>
      <c r="U34" s="43" t="n">
        <f aca="false">U32*U33</f>
        <v>0</v>
      </c>
      <c r="V34" s="43" t="n">
        <f aca="false">V32*V33</f>
        <v>0</v>
      </c>
      <c r="W34" s="43" t="n">
        <f aca="false">W32*W33</f>
        <v>3213131.43585</v>
      </c>
      <c r="X34" s="43" t="n">
        <f aca="false">X32*X33</f>
        <v>3213131.43585</v>
      </c>
      <c r="Y34" s="43" t="n">
        <f aca="false">Y32*Y33</f>
        <v>3213131.43585</v>
      </c>
      <c r="Z34" s="43" t="n">
        <f aca="false">Z32*Z33</f>
        <v>3213131.43585</v>
      </c>
      <c r="AA34" s="43" t="n">
        <f aca="false">AA32*AA33</f>
        <v>3373788.0076425</v>
      </c>
      <c r="AB34" s="43" t="n">
        <f aca="false">AB32*AB33</f>
        <v>3373788.0076425</v>
      </c>
      <c r="AC34" s="43" t="n">
        <f aca="false">AC32*AC33</f>
        <v>3373788.0076425</v>
      </c>
      <c r="AD34" s="43" t="n">
        <f aca="false">AD32*AD33</f>
        <v>3373788.0076425</v>
      </c>
      <c r="AE34" s="43" t="n">
        <f aca="false">AE32*AE33</f>
        <v>3373788.0076425</v>
      </c>
      <c r="AF34" s="43" t="n">
        <f aca="false">AF32*AF33</f>
        <v>3373788.0076425</v>
      </c>
      <c r="AG34" s="43" t="n">
        <f aca="false">AG32*AG33</f>
        <v>3373788.0076425</v>
      </c>
      <c r="AH34" s="43" t="n">
        <f aca="false">AH32*AH33</f>
        <v>3373788.0076425</v>
      </c>
      <c r="AI34" s="43" t="n">
        <f aca="false">AI32*AI33</f>
        <v>3373788.0076425</v>
      </c>
      <c r="AJ34" s="43" t="n">
        <f aca="false">AJ32*AJ33</f>
        <v>3373788.0076425</v>
      </c>
      <c r="AK34" s="43" t="n">
        <f aca="false">AK32*AK33</f>
        <v>6747576.015285</v>
      </c>
      <c r="AL34" s="43" t="n">
        <f aca="false">AL32*AL33</f>
        <v>6747576.015285</v>
      </c>
      <c r="AM34" s="43" t="n">
        <f aca="false">AM32*AM33</f>
        <v>7084954.81604925</v>
      </c>
      <c r="AN34" s="43" t="n">
        <f aca="false">AN32*AN33</f>
        <v>7084954.81604925</v>
      </c>
      <c r="AO34" s="43" t="n">
        <f aca="false">AO32*AO33</f>
        <v>7084954.81604925</v>
      </c>
      <c r="AP34" s="43" t="n">
        <f aca="false">AP32*AP33</f>
        <v>7084954.81604925</v>
      </c>
      <c r="AQ34" s="43" t="n">
        <f aca="false">AQ32*AQ33</f>
        <v>7084954.81604925</v>
      </c>
      <c r="AR34" s="43" t="n">
        <f aca="false">AR32*AR33</f>
        <v>7084954.81604925</v>
      </c>
      <c r="AS34" s="43" t="n">
        <f aca="false">AS32*AS33</f>
        <v>7084954.81604925</v>
      </c>
      <c r="AT34" s="43" t="n">
        <f aca="false">AT32*AT33</f>
        <v>7084954.81604925</v>
      </c>
      <c r="AU34" s="43" t="n">
        <f aca="false">AU32*AU33</f>
        <v>10627432.2240739</v>
      </c>
      <c r="AV34" s="43" t="n">
        <f aca="false">AV32*AV33</f>
        <v>10627432.2240739</v>
      </c>
      <c r="AW34" s="43" t="n">
        <f aca="false">AW32*AW33</f>
        <v>10627432.2240739</v>
      </c>
      <c r="AX34" s="43" t="n">
        <f aca="false">AX32*AX33</f>
        <v>10627432.2240739</v>
      </c>
      <c r="AY34" s="43" t="n">
        <f aca="false">AY32*AY33</f>
        <v>11158803.8352776</v>
      </c>
      <c r="AZ34" s="43" t="n">
        <f aca="false">AZ32*AZ33</f>
        <v>11158803.8352776</v>
      </c>
      <c r="BA34" s="43" t="n">
        <f aca="false">BA32*BA33</f>
        <v>11158803.8352776</v>
      </c>
      <c r="BB34" s="43" t="n">
        <f aca="false">BB32*BB33</f>
        <v>11158803.8352776</v>
      </c>
      <c r="BC34" s="43" t="n">
        <f aca="false">BC32*BC33</f>
        <v>11158803.8352776</v>
      </c>
      <c r="BD34" s="43" t="n">
        <f aca="false">BD32*BD33</f>
        <v>14878405.1137034</v>
      </c>
      <c r="BE34" s="43" t="n">
        <f aca="false">BE32*BE33</f>
        <v>14878405.1137034</v>
      </c>
      <c r="BF34" s="43" t="n">
        <f aca="false">BF32*BF33</f>
        <v>14878405.1137034</v>
      </c>
      <c r="BG34" s="43" t="n">
        <f aca="false">BG32*BG33</f>
        <v>14878405.1137034</v>
      </c>
      <c r="BH34" s="43" t="n">
        <f aca="false">BH32*BH33</f>
        <v>14878405.1137034</v>
      </c>
      <c r="BI34" s="43" t="n">
        <f aca="false">BI32*BI33</f>
        <v>14878405.1137034</v>
      </c>
      <c r="BJ34" s="43" t="n">
        <f aca="false">BJ32*BJ33</f>
        <v>14878405.1137034</v>
      </c>
    </row>
    <row r="35" customFormat="false" ht="15" hidden="false" customHeight="true" outlineLevel="0" collapsed="false">
      <c r="A35" s="10" t="s">
        <v>260</v>
      </c>
      <c r="B35" s="7" t="s">
        <v>109</v>
      </c>
      <c r="C35" s="39" t="n">
        <f aca="false">IF(C5&gt;=INDEX(Supuestos!$C$18:$E$18,1,$B$2),Supuestos!$C$51,0)</f>
        <v>0</v>
      </c>
      <c r="D35" s="39" t="n">
        <f aca="false">IF(D5&gt;=INDEX(Supuestos!$C$18:$E$18,1,$B$2),Supuestos!$C$51,0)</f>
        <v>0</v>
      </c>
      <c r="E35" s="39" t="n">
        <f aca="false">IF(E5&gt;=INDEX(Supuestos!$C$18:$E$18,1,$B$2),Supuestos!$C$51,0)</f>
        <v>0</v>
      </c>
      <c r="F35" s="39" t="n">
        <f aca="false">IF(F5&gt;=INDEX(Supuestos!$C$18:$E$18,1,$B$2),Supuestos!$C$51,0)</f>
        <v>0</v>
      </c>
      <c r="G35" s="39" t="n">
        <f aca="false">IF(G5&gt;=INDEX(Supuestos!$C$18:$E$18,1,$B$2),Supuestos!$C$51,0)</f>
        <v>0</v>
      </c>
      <c r="H35" s="39" t="n">
        <f aca="false">IF(H5&gt;=INDEX(Supuestos!$C$18:$E$18,1,$B$2),Supuestos!$C$51,0)</f>
        <v>0</v>
      </c>
      <c r="I35" s="39" t="n">
        <f aca="false">IF(I5&gt;=INDEX(Supuestos!$C$18:$E$18,1,$B$2),Supuestos!$C$51,0)</f>
        <v>0</v>
      </c>
      <c r="J35" s="39" t="n">
        <f aca="false">IF(J5&gt;=INDEX(Supuestos!$C$18:$E$18,1,$B$2),Supuestos!$C$51,0)</f>
        <v>0</v>
      </c>
      <c r="K35" s="39" t="n">
        <f aca="false">IF(K5&gt;=INDEX(Supuestos!$C$18:$E$18,1,$B$2),Supuestos!$C$51,0)</f>
        <v>0</v>
      </c>
      <c r="L35" s="39" t="n">
        <f aca="false">IF(L5&gt;=INDEX(Supuestos!$C$18:$E$18,1,$B$2),Supuestos!$C$51,0)</f>
        <v>0</v>
      </c>
      <c r="M35" s="39" t="n">
        <f aca="false">IF(M5&gt;=INDEX(Supuestos!$C$18:$E$18,1,$B$2),Supuestos!$C$51,0)</f>
        <v>0</v>
      </c>
      <c r="N35" s="39" t="n">
        <f aca="false">IF(N5&gt;=INDEX(Supuestos!$C$18:$E$18,1,$B$2),Supuestos!$C$51,0)</f>
        <v>0</v>
      </c>
      <c r="O35" s="39" t="n">
        <f aca="false">IF(O5&gt;=INDEX(Supuestos!$C$18:$E$18,1,$B$2),Supuestos!$C$51,0)</f>
        <v>0</v>
      </c>
      <c r="P35" s="39" t="n">
        <f aca="false">IF(P5&gt;=INDEX(Supuestos!$C$18:$E$18,1,$B$2),Supuestos!$C$51,0)</f>
        <v>0</v>
      </c>
      <c r="Q35" s="39" t="n">
        <f aca="false">IF(Q5&gt;=INDEX(Supuestos!$C$18:$E$18,1,$B$2),Supuestos!$C$51,0)</f>
        <v>0</v>
      </c>
      <c r="R35" s="39" t="n">
        <f aca="false">IF(R5&gt;=INDEX(Supuestos!$C$18:$E$18,1,$B$2),Supuestos!$C$51,0)</f>
        <v>0</v>
      </c>
      <c r="S35" s="39" t="n">
        <f aca="false">IF(S5&gt;=INDEX(Supuestos!$C$18:$E$18,1,$B$2),Supuestos!$C$51,0)</f>
        <v>0</v>
      </c>
      <c r="T35" s="39" t="n">
        <f aca="false">IF(T5&gt;=INDEX(Supuestos!$C$18:$E$18,1,$B$2),Supuestos!$C$51,0)</f>
        <v>0</v>
      </c>
      <c r="U35" s="39" t="n">
        <f aca="false">IF(U5&gt;=INDEX(Supuestos!$C$18:$E$18,1,$B$2),Supuestos!$C$51,0)</f>
        <v>0</v>
      </c>
      <c r="V35" s="39" t="n">
        <f aca="false">IF(V5&gt;=INDEX(Supuestos!$C$18:$E$18,1,$B$2),Supuestos!$C$51,0)</f>
        <v>0</v>
      </c>
      <c r="W35" s="39" t="n">
        <f aca="false">IF(W5&gt;=INDEX(Supuestos!$C$18:$E$18,1,$B$2),Supuestos!$C$51,0)</f>
        <v>0</v>
      </c>
      <c r="X35" s="39" t="n">
        <f aca="false">IF(X5&gt;=INDEX(Supuestos!$C$18:$E$18,1,$B$2),Supuestos!$C$51,0)</f>
        <v>0</v>
      </c>
      <c r="Y35" s="39" t="n">
        <f aca="false">IF(Y5&gt;=INDEX(Supuestos!$C$18:$E$18,1,$B$2),Supuestos!$C$51,0)</f>
        <v>0</v>
      </c>
      <c r="Z35" s="39" t="n">
        <f aca="false">IF(Z5&gt;=INDEX(Supuestos!$C$18:$E$18,1,$B$2),Supuestos!$C$51,0)</f>
        <v>0</v>
      </c>
      <c r="AA35" s="39" t="n">
        <f aca="false">IF(AA5&gt;=INDEX(Supuestos!$C$18:$E$18,1,$B$2),Supuestos!$C$51,0)</f>
        <v>3</v>
      </c>
      <c r="AB35" s="39" t="n">
        <f aca="false">IF(AB5&gt;=INDEX(Supuestos!$C$18:$E$18,1,$B$2),Supuestos!$C$51,0)</f>
        <v>3</v>
      </c>
      <c r="AC35" s="39" t="n">
        <f aca="false">IF(AC5&gt;=INDEX(Supuestos!$C$18:$E$18,1,$B$2),Supuestos!$C$51,0)</f>
        <v>3</v>
      </c>
      <c r="AD35" s="39" t="n">
        <f aca="false">IF(AD5&gt;=INDEX(Supuestos!$C$18:$E$18,1,$B$2),Supuestos!$C$51,0)</f>
        <v>3</v>
      </c>
      <c r="AE35" s="39" t="n">
        <f aca="false">IF(AE5&gt;=INDEX(Supuestos!$C$18:$E$18,1,$B$2),Supuestos!$C$51,0)</f>
        <v>3</v>
      </c>
      <c r="AF35" s="39" t="n">
        <f aca="false">IF(AF5&gt;=INDEX(Supuestos!$C$18:$E$18,1,$B$2),Supuestos!$C$51,0)</f>
        <v>3</v>
      </c>
      <c r="AG35" s="39" t="n">
        <f aca="false">IF(AG5&gt;=INDEX(Supuestos!$C$18:$E$18,1,$B$2),Supuestos!$C$51,0)</f>
        <v>3</v>
      </c>
      <c r="AH35" s="39" t="n">
        <f aca="false">IF(AH5&gt;=INDEX(Supuestos!$C$18:$E$18,1,$B$2),Supuestos!$C$51,0)</f>
        <v>3</v>
      </c>
      <c r="AI35" s="39" t="n">
        <f aca="false">IF(AI5&gt;=INDEX(Supuestos!$C$18:$E$18,1,$B$2),Supuestos!$C$51,0)</f>
        <v>3</v>
      </c>
      <c r="AJ35" s="39" t="n">
        <f aca="false">IF(AJ5&gt;=INDEX(Supuestos!$C$18:$E$18,1,$B$2),Supuestos!$C$51,0)</f>
        <v>3</v>
      </c>
      <c r="AK35" s="39" t="n">
        <f aca="false">IF(AK5&gt;=INDEX(Supuestos!$C$18:$E$18,1,$B$2),Supuestos!$C$51,0)</f>
        <v>3</v>
      </c>
      <c r="AL35" s="39" t="n">
        <f aca="false">IF(AL5&gt;=INDEX(Supuestos!$C$18:$E$18,1,$B$2),Supuestos!$C$51,0)</f>
        <v>3</v>
      </c>
      <c r="AM35" s="39" t="n">
        <f aca="false">IF(AM5&gt;=INDEX(Supuestos!$C$18:$E$18,1,$B$2),Supuestos!$C$51,0)</f>
        <v>3</v>
      </c>
      <c r="AN35" s="39" t="n">
        <f aca="false">IF(AN5&gt;=INDEX(Supuestos!$C$18:$E$18,1,$B$2),Supuestos!$C$51,0)</f>
        <v>3</v>
      </c>
      <c r="AO35" s="39" t="n">
        <f aca="false">IF(AO5&gt;=INDEX(Supuestos!$C$18:$E$18,1,$B$2),Supuestos!$C$51,0)</f>
        <v>3</v>
      </c>
      <c r="AP35" s="39" t="n">
        <f aca="false">IF(AP5&gt;=INDEX(Supuestos!$C$18:$E$18,1,$B$2),Supuestos!$C$51,0)</f>
        <v>3</v>
      </c>
      <c r="AQ35" s="39" t="n">
        <f aca="false">IF(AQ5&gt;=INDEX(Supuestos!$C$18:$E$18,1,$B$2),Supuestos!$C$51,0)</f>
        <v>3</v>
      </c>
      <c r="AR35" s="39" t="n">
        <f aca="false">IF(AR5&gt;=INDEX(Supuestos!$C$18:$E$18,1,$B$2),Supuestos!$C$51,0)</f>
        <v>3</v>
      </c>
      <c r="AS35" s="39" t="n">
        <f aca="false">IF(AS5&gt;=INDEX(Supuestos!$C$18:$E$18,1,$B$2),Supuestos!$C$51,0)</f>
        <v>3</v>
      </c>
      <c r="AT35" s="39" t="n">
        <f aca="false">IF(AT5&gt;=INDEX(Supuestos!$C$18:$E$18,1,$B$2),Supuestos!$C$51,0)</f>
        <v>3</v>
      </c>
      <c r="AU35" s="39" t="n">
        <f aca="false">IF(AU5&gt;=INDEX(Supuestos!$C$18:$E$18,1,$B$2),Supuestos!$C$51,0)</f>
        <v>3</v>
      </c>
      <c r="AV35" s="39" t="n">
        <f aca="false">IF(AV5&gt;=INDEX(Supuestos!$C$18:$E$18,1,$B$2),Supuestos!$C$51,0)</f>
        <v>3</v>
      </c>
      <c r="AW35" s="39" t="n">
        <f aca="false">IF(AW5&gt;=INDEX(Supuestos!$C$18:$E$18,1,$B$2),Supuestos!$C$51,0)</f>
        <v>3</v>
      </c>
      <c r="AX35" s="39" t="n">
        <f aca="false">IF(AX5&gt;=INDEX(Supuestos!$C$18:$E$18,1,$B$2),Supuestos!$C$51,0)</f>
        <v>3</v>
      </c>
      <c r="AY35" s="39" t="n">
        <f aca="false">IF(AY5&gt;=INDEX(Supuestos!$C$18:$E$18,1,$B$2),Supuestos!$C$51,0)</f>
        <v>3</v>
      </c>
      <c r="AZ35" s="39" t="n">
        <f aca="false">IF(AZ5&gt;=INDEX(Supuestos!$C$18:$E$18,1,$B$2),Supuestos!$C$51,0)</f>
        <v>3</v>
      </c>
      <c r="BA35" s="39" t="n">
        <f aca="false">IF(BA5&gt;=INDEX(Supuestos!$C$18:$E$18,1,$B$2),Supuestos!$C$51,0)</f>
        <v>3</v>
      </c>
      <c r="BB35" s="39" t="n">
        <f aca="false">IF(BB5&gt;=INDEX(Supuestos!$C$18:$E$18,1,$B$2),Supuestos!$C$51,0)</f>
        <v>3</v>
      </c>
      <c r="BC35" s="39" t="n">
        <f aca="false">IF(BC5&gt;=INDEX(Supuestos!$C$18:$E$18,1,$B$2),Supuestos!$C$51,0)</f>
        <v>3</v>
      </c>
      <c r="BD35" s="39" t="n">
        <f aca="false">IF(BD5&gt;=INDEX(Supuestos!$C$18:$E$18,1,$B$2),Supuestos!$C$51,0)</f>
        <v>3</v>
      </c>
      <c r="BE35" s="39" t="n">
        <f aca="false">IF(BE5&gt;=INDEX(Supuestos!$C$18:$E$18,1,$B$2),Supuestos!$C$51,0)</f>
        <v>3</v>
      </c>
      <c r="BF35" s="39" t="n">
        <f aca="false">IF(BF5&gt;=INDEX(Supuestos!$C$18:$E$18,1,$B$2),Supuestos!$C$51,0)</f>
        <v>3</v>
      </c>
      <c r="BG35" s="39" t="n">
        <f aca="false">IF(BG5&gt;=INDEX(Supuestos!$C$18:$E$18,1,$B$2),Supuestos!$C$51,0)</f>
        <v>3</v>
      </c>
      <c r="BH35" s="39" t="n">
        <f aca="false">IF(BH5&gt;=INDEX(Supuestos!$C$18:$E$18,1,$B$2),Supuestos!$C$51,0)</f>
        <v>3</v>
      </c>
      <c r="BI35" s="39" t="n">
        <f aca="false">IF(BI5&gt;=INDEX(Supuestos!$C$18:$E$18,1,$B$2),Supuestos!$C$51,0)</f>
        <v>3</v>
      </c>
      <c r="BJ35" s="39" t="n">
        <f aca="false">IF(BJ5&gt;=INDEX(Supuestos!$C$18:$E$18,1,$B$2),Supuestos!$C$51,0)</f>
        <v>3</v>
      </c>
    </row>
    <row r="36" customFormat="false" ht="15" hidden="false" customHeight="true" outlineLevel="0" collapsed="false">
      <c r="A36" s="10" t="s">
        <v>261</v>
      </c>
      <c r="B36" s="7" t="s">
        <v>146</v>
      </c>
      <c r="C36" s="43" t="n">
        <f aca="false">Supuestos!$C$52*(1+Supuestos!$C$39)^(C6-1)*(1+Supuestos!$C$48)+IF(Supuestos!$C$52*(1+Supuestos!$C$39)^(C6-1)&lt;=2*Supuestos!$C$37*(1+Supuestos!$C$39)^(C6-1),Supuestos!$C$38*(1+Supuestos!$C$39)^(C6-1)*(1+Supuestos!$C$49),0)</f>
        <v>4443645.177</v>
      </c>
      <c r="D36" s="43" t="n">
        <f aca="false">Supuestos!$C$52*(1+Supuestos!$C$39)^(D6-1)*(1+Supuestos!$C$48)+IF(Supuestos!$C$52*(1+Supuestos!$C$39)^(D6-1)&lt;=2*Supuestos!$C$37*(1+Supuestos!$C$39)^(D6-1),Supuestos!$C$38*(1+Supuestos!$C$39)^(D6-1)*(1+Supuestos!$C$49),0)</f>
        <v>4443645.177</v>
      </c>
      <c r="E36" s="43" t="n">
        <f aca="false">Supuestos!$C$52*(1+Supuestos!$C$39)^(E6-1)*(1+Supuestos!$C$48)+IF(Supuestos!$C$52*(1+Supuestos!$C$39)^(E6-1)&lt;=2*Supuestos!$C$37*(1+Supuestos!$C$39)^(E6-1),Supuestos!$C$38*(1+Supuestos!$C$39)^(E6-1)*(1+Supuestos!$C$49),0)</f>
        <v>4443645.177</v>
      </c>
      <c r="F36" s="43" t="n">
        <f aca="false">Supuestos!$C$52*(1+Supuestos!$C$39)^(F6-1)*(1+Supuestos!$C$48)+IF(Supuestos!$C$52*(1+Supuestos!$C$39)^(F6-1)&lt;=2*Supuestos!$C$37*(1+Supuestos!$C$39)^(F6-1),Supuestos!$C$38*(1+Supuestos!$C$39)^(F6-1)*(1+Supuestos!$C$49),0)</f>
        <v>4443645.177</v>
      </c>
      <c r="G36" s="43" t="n">
        <f aca="false">Supuestos!$C$52*(1+Supuestos!$C$39)^(G6-1)*(1+Supuestos!$C$48)+IF(Supuestos!$C$52*(1+Supuestos!$C$39)^(G6-1)&lt;=2*Supuestos!$C$37*(1+Supuestos!$C$39)^(G6-1),Supuestos!$C$38*(1+Supuestos!$C$39)^(G6-1)*(1+Supuestos!$C$49),0)</f>
        <v>4443645.177</v>
      </c>
      <c r="H36" s="43" t="n">
        <f aca="false">Supuestos!$C$52*(1+Supuestos!$C$39)^(H6-1)*(1+Supuestos!$C$48)+IF(Supuestos!$C$52*(1+Supuestos!$C$39)^(H6-1)&lt;=2*Supuestos!$C$37*(1+Supuestos!$C$39)^(H6-1),Supuestos!$C$38*(1+Supuestos!$C$39)^(H6-1)*(1+Supuestos!$C$49),0)</f>
        <v>4443645.177</v>
      </c>
      <c r="I36" s="43" t="n">
        <f aca="false">Supuestos!$C$52*(1+Supuestos!$C$39)^(I6-1)*(1+Supuestos!$C$48)+IF(Supuestos!$C$52*(1+Supuestos!$C$39)^(I6-1)&lt;=2*Supuestos!$C$37*(1+Supuestos!$C$39)^(I6-1),Supuestos!$C$38*(1+Supuestos!$C$39)^(I6-1)*(1+Supuestos!$C$49),0)</f>
        <v>4443645.177</v>
      </c>
      <c r="J36" s="43" t="n">
        <f aca="false">Supuestos!$C$52*(1+Supuestos!$C$39)^(J6-1)*(1+Supuestos!$C$48)+IF(Supuestos!$C$52*(1+Supuestos!$C$39)^(J6-1)&lt;=2*Supuestos!$C$37*(1+Supuestos!$C$39)^(J6-1),Supuestos!$C$38*(1+Supuestos!$C$39)^(J6-1)*(1+Supuestos!$C$49),0)</f>
        <v>4443645.177</v>
      </c>
      <c r="K36" s="43" t="n">
        <f aca="false">Supuestos!$C$52*(1+Supuestos!$C$39)^(K6-1)*(1+Supuestos!$C$48)+IF(Supuestos!$C$52*(1+Supuestos!$C$39)^(K6-1)&lt;=2*Supuestos!$C$37*(1+Supuestos!$C$39)^(K6-1),Supuestos!$C$38*(1+Supuestos!$C$39)^(K6-1)*(1+Supuestos!$C$49),0)</f>
        <v>4443645.177</v>
      </c>
      <c r="L36" s="43" t="n">
        <f aca="false">Supuestos!$C$52*(1+Supuestos!$C$39)^(L6-1)*(1+Supuestos!$C$48)+IF(Supuestos!$C$52*(1+Supuestos!$C$39)^(L6-1)&lt;=2*Supuestos!$C$37*(1+Supuestos!$C$39)^(L6-1),Supuestos!$C$38*(1+Supuestos!$C$39)^(L6-1)*(1+Supuestos!$C$49),0)</f>
        <v>4443645.177</v>
      </c>
      <c r="M36" s="43" t="n">
        <f aca="false">Supuestos!$C$52*(1+Supuestos!$C$39)^(M6-1)*(1+Supuestos!$C$48)+IF(Supuestos!$C$52*(1+Supuestos!$C$39)^(M6-1)&lt;=2*Supuestos!$C$37*(1+Supuestos!$C$39)^(M6-1),Supuestos!$C$38*(1+Supuestos!$C$39)^(M6-1)*(1+Supuestos!$C$49),0)</f>
        <v>4443645.177</v>
      </c>
      <c r="N36" s="43" t="n">
        <f aca="false">Supuestos!$C$52*(1+Supuestos!$C$39)^(N6-1)*(1+Supuestos!$C$48)+IF(Supuestos!$C$52*(1+Supuestos!$C$39)^(N6-1)&lt;=2*Supuestos!$C$37*(1+Supuestos!$C$39)^(N6-1),Supuestos!$C$38*(1+Supuestos!$C$39)^(N6-1)*(1+Supuestos!$C$49),0)</f>
        <v>4443645.177</v>
      </c>
      <c r="O36" s="43" t="n">
        <f aca="false">Supuestos!$C$52*(1+Supuestos!$C$39)^(O6-1)*(1+Supuestos!$C$48)+IF(Supuestos!$C$52*(1+Supuestos!$C$39)^(O6-1)&lt;=2*Supuestos!$C$37*(1+Supuestos!$C$39)^(O6-1),Supuestos!$C$38*(1+Supuestos!$C$39)^(O6-1)*(1+Supuestos!$C$49),0)</f>
        <v>4665827.43585</v>
      </c>
      <c r="P36" s="43" t="n">
        <f aca="false">Supuestos!$C$52*(1+Supuestos!$C$39)^(P6-1)*(1+Supuestos!$C$48)+IF(Supuestos!$C$52*(1+Supuestos!$C$39)^(P6-1)&lt;=2*Supuestos!$C$37*(1+Supuestos!$C$39)^(P6-1),Supuestos!$C$38*(1+Supuestos!$C$39)^(P6-1)*(1+Supuestos!$C$49),0)</f>
        <v>4665827.43585</v>
      </c>
      <c r="Q36" s="43" t="n">
        <f aca="false">Supuestos!$C$52*(1+Supuestos!$C$39)^(Q6-1)*(1+Supuestos!$C$48)+IF(Supuestos!$C$52*(1+Supuestos!$C$39)^(Q6-1)&lt;=2*Supuestos!$C$37*(1+Supuestos!$C$39)^(Q6-1),Supuestos!$C$38*(1+Supuestos!$C$39)^(Q6-1)*(1+Supuestos!$C$49),0)</f>
        <v>4665827.43585</v>
      </c>
      <c r="R36" s="43" t="n">
        <f aca="false">Supuestos!$C$52*(1+Supuestos!$C$39)^(R6-1)*(1+Supuestos!$C$48)+IF(Supuestos!$C$52*(1+Supuestos!$C$39)^(R6-1)&lt;=2*Supuestos!$C$37*(1+Supuestos!$C$39)^(R6-1),Supuestos!$C$38*(1+Supuestos!$C$39)^(R6-1)*(1+Supuestos!$C$49),0)</f>
        <v>4665827.43585</v>
      </c>
      <c r="S36" s="43" t="n">
        <f aca="false">Supuestos!$C$52*(1+Supuestos!$C$39)^(S6-1)*(1+Supuestos!$C$48)+IF(Supuestos!$C$52*(1+Supuestos!$C$39)^(S6-1)&lt;=2*Supuestos!$C$37*(1+Supuestos!$C$39)^(S6-1),Supuestos!$C$38*(1+Supuestos!$C$39)^(S6-1)*(1+Supuestos!$C$49),0)</f>
        <v>4665827.43585</v>
      </c>
      <c r="T36" s="43" t="n">
        <f aca="false">Supuestos!$C$52*(1+Supuestos!$C$39)^(T6-1)*(1+Supuestos!$C$48)+IF(Supuestos!$C$52*(1+Supuestos!$C$39)^(T6-1)&lt;=2*Supuestos!$C$37*(1+Supuestos!$C$39)^(T6-1),Supuestos!$C$38*(1+Supuestos!$C$39)^(T6-1)*(1+Supuestos!$C$49),0)</f>
        <v>4665827.43585</v>
      </c>
      <c r="U36" s="43" t="n">
        <f aca="false">Supuestos!$C$52*(1+Supuestos!$C$39)^(U6-1)*(1+Supuestos!$C$48)+IF(Supuestos!$C$52*(1+Supuestos!$C$39)^(U6-1)&lt;=2*Supuestos!$C$37*(1+Supuestos!$C$39)^(U6-1),Supuestos!$C$38*(1+Supuestos!$C$39)^(U6-1)*(1+Supuestos!$C$49),0)</f>
        <v>4665827.43585</v>
      </c>
      <c r="V36" s="43" t="n">
        <f aca="false">Supuestos!$C$52*(1+Supuestos!$C$39)^(V6-1)*(1+Supuestos!$C$48)+IF(Supuestos!$C$52*(1+Supuestos!$C$39)^(V6-1)&lt;=2*Supuestos!$C$37*(1+Supuestos!$C$39)^(V6-1),Supuestos!$C$38*(1+Supuestos!$C$39)^(V6-1)*(1+Supuestos!$C$49),0)</f>
        <v>4665827.43585</v>
      </c>
      <c r="W36" s="43" t="n">
        <f aca="false">Supuestos!$C$52*(1+Supuestos!$C$39)^(W6-1)*(1+Supuestos!$C$48)+IF(Supuestos!$C$52*(1+Supuestos!$C$39)^(W6-1)&lt;=2*Supuestos!$C$37*(1+Supuestos!$C$39)^(W6-1),Supuestos!$C$38*(1+Supuestos!$C$39)^(W6-1)*(1+Supuestos!$C$49),0)</f>
        <v>4665827.43585</v>
      </c>
      <c r="X36" s="43" t="n">
        <f aca="false">Supuestos!$C$52*(1+Supuestos!$C$39)^(X6-1)*(1+Supuestos!$C$48)+IF(Supuestos!$C$52*(1+Supuestos!$C$39)^(X6-1)&lt;=2*Supuestos!$C$37*(1+Supuestos!$C$39)^(X6-1),Supuestos!$C$38*(1+Supuestos!$C$39)^(X6-1)*(1+Supuestos!$C$49),0)</f>
        <v>4665827.43585</v>
      </c>
      <c r="Y36" s="43" t="n">
        <f aca="false">Supuestos!$C$52*(1+Supuestos!$C$39)^(Y6-1)*(1+Supuestos!$C$48)+IF(Supuestos!$C$52*(1+Supuestos!$C$39)^(Y6-1)&lt;=2*Supuestos!$C$37*(1+Supuestos!$C$39)^(Y6-1),Supuestos!$C$38*(1+Supuestos!$C$39)^(Y6-1)*(1+Supuestos!$C$49),0)</f>
        <v>4665827.43585</v>
      </c>
      <c r="Z36" s="43" t="n">
        <f aca="false">Supuestos!$C$52*(1+Supuestos!$C$39)^(Z6-1)*(1+Supuestos!$C$48)+IF(Supuestos!$C$52*(1+Supuestos!$C$39)^(Z6-1)&lt;=2*Supuestos!$C$37*(1+Supuestos!$C$39)^(Z6-1),Supuestos!$C$38*(1+Supuestos!$C$39)^(Z6-1)*(1+Supuestos!$C$49),0)</f>
        <v>4665827.43585</v>
      </c>
      <c r="AA36" s="43" t="n">
        <f aca="false">Supuestos!$C$52*(1+Supuestos!$C$39)^(AA6-1)*(1+Supuestos!$C$48)+IF(Supuestos!$C$52*(1+Supuestos!$C$39)^(AA6-1)&lt;=2*Supuestos!$C$37*(1+Supuestos!$C$39)^(AA6-1),Supuestos!$C$38*(1+Supuestos!$C$39)^(AA6-1)*(1+Supuestos!$C$49),0)</f>
        <v>4899118.8076425</v>
      </c>
      <c r="AB36" s="43" t="n">
        <f aca="false">Supuestos!$C$52*(1+Supuestos!$C$39)^(AB6-1)*(1+Supuestos!$C$48)+IF(Supuestos!$C$52*(1+Supuestos!$C$39)^(AB6-1)&lt;=2*Supuestos!$C$37*(1+Supuestos!$C$39)^(AB6-1),Supuestos!$C$38*(1+Supuestos!$C$39)^(AB6-1)*(1+Supuestos!$C$49),0)</f>
        <v>4899118.8076425</v>
      </c>
      <c r="AC36" s="43" t="n">
        <f aca="false">Supuestos!$C$52*(1+Supuestos!$C$39)^(AC6-1)*(1+Supuestos!$C$48)+IF(Supuestos!$C$52*(1+Supuestos!$C$39)^(AC6-1)&lt;=2*Supuestos!$C$37*(1+Supuestos!$C$39)^(AC6-1),Supuestos!$C$38*(1+Supuestos!$C$39)^(AC6-1)*(1+Supuestos!$C$49),0)</f>
        <v>4899118.8076425</v>
      </c>
      <c r="AD36" s="43" t="n">
        <f aca="false">Supuestos!$C$52*(1+Supuestos!$C$39)^(AD6-1)*(1+Supuestos!$C$48)+IF(Supuestos!$C$52*(1+Supuestos!$C$39)^(AD6-1)&lt;=2*Supuestos!$C$37*(1+Supuestos!$C$39)^(AD6-1),Supuestos!$C$38*(1+Supuestos!$C$39)^(AD6-1)*(1+Supuestos!$C$49),0)</f>
        <v>4899118.8076425</v>
      </c>
      <c r="AE36" s="43" t="n">
        <f aca="false">Supuestos!$C$52*(1+Supuestos!$C$39)^(AE6-1)*(1+Supuestos!$C$48)+IF(Supuestos!$C$52*(1+Supuestos!$C$39)^(AE6-1)&lt;=2*Supuestos!$C$37*(1+Supuestos!$C$39)^(AE6-1),Supuestos!$C$38*(1+Supuestos!$C$39)^(AE6-1)*(1+Supuestos!$C$49),0)</f>
        <v>4899118.8076425</v>
      </c>
      <c r="AF36" s="43" t="n">
        <f aca="false">Supuestos!$C$52*(1+Supuestos!$C$39)^(AF6-1)*(1+Supuestos!$C$48)+IF(Supuestos!$C$52*(1+Supuestos!$C$39)^(AF6-1)&lt;=2*Supuestos!$C$37*(1+Supuestos!$C$39)^(AF6-1),Supuestos!$C$38*(1+Supuestos!$C$39)^(AF6-1)*(1+Supuestos!$C$49),0)</f>
        <v>4899118.8076425</v>
      </c>
      <c r="AG36" s="43" t="n">
        <f aca="false">Supuestos!$C$52*(1+Supuestos!$C$39)^(AG6-1)*(1+Supuestos!$C$48)+IF(Supuestos!$C$52*(1+Supuestos!$C$39)^(AG6-1)&lt;=2*Supuestos!$C$37*(1+Supuestos!$C$39)^(AG6-1),Supuestos!$C$38*(1+Supuestos!$C$39)^(AG6-1)*(1+Supuestos!$C$49),0)</f>
        <v>4899118.8076425</v>
      </c>
      <c r="AH36" s="43" t="n">
        <f aca="false">Supuestos!$C$52*(1+Supuestos!$C$39)^(AH6-1)*(1+Supuestos!$C$48)+IF(Supuestos!$C$52*(1+Supuestos!$C$39)^(AH6-1)&lt;=2*Supuestos!$C$37*(1+Supuestos!$C$39)^(AH6-1),Supuestos!$C$38*(1+Supuestos!$C$39)^(AH6-1)*(1+Supuestos!$C$49),0)</f>
        <v>4899118.8076425</v>
      </c>
      <c r="AI36" s="43" t="n">
        <f aca="false">Supuestos!$C$52*(1+Supuestos!$C$39)^(AI6-1)*(1+Supuestos!$C$48)+IF(Supuestos!$C$52*(1+Supuestos!$C$39)^(AI6-1)&lt;=2*Supuestos!$C$37*(1+Supuestos!$C$39)^(AI6-1),Supuestos!$C$38*(1+Supuestos!$C$39)^(AI6-1)*(1+Supuestos!$C$49),0)</f>
        <v>4899118.8076425</v>
      </c>
      <c r="AJ36" s="43" t="n">
        <f aca="false">Supuestos!$C$52*(1+Supuestos!$C$39)^(AJ6-1)*(1+Supuestos!$C$48)+IF(Supuestos!$C$52*(1+Supuestos!$C$39)^(AJ6-1)&lt;=2*Supuestos!$C$37*(1+Supuestos!$C$39)^(AJ6-1),Supuestos!$C$38*(1+Supuestos!$C$39)^(AJ6-1)*(1+Supuestos!$C$49),0)</f>
        <v>4899118.8076425</v>
      </c>
      <c r="AK36" s="43" t="n">
        <f aca="false">Supuestos!$C$52*(1+Supuestos!$C$39)^(AK6-1)*(1+Supuestos!$C$48)+IF(Supuestos!$C$52*(1+Supuestos!$C$39)^(AK6-1)&lt;=2*Supuestos!$C$37*(1+Supuestos!$C$39)^(AK6-1),Supuestos!$C$38*(1+Supuestos!$C$39)^(AK6-1)*(1+Supuestos!$C$49),0)</f>
        <v>4899118.8076425</v>
      </c>
      <c r="AL36" s="43" t="n">
        <f aca="false">Supuestos!$C$52*(1+Supuestos!$C$39)^(AL6-1)*(1+Supuestos!$C$48)+IF(Supuestos!$C$52*(1+Supuestos!$C$39)^(AL6-1)&lt;=2*Supuestos!$C$37*(1+Supuestos!$C$39)^(AL6-1),Supuestos!$C$38*(1+Supuestos!$C$39)^(AL6-1)*(1+Supuestos!$C$49),0)</f>
        <v>4899118.8076425</v>
      </c>
      <c r="AM36" s="43" t="n">
        <f aca="false">Supuestos!$C$52*(1+Supuestos!$C$39)^(AM6-1)*(1+Supuestos!$C$48)+IF(Supuestos!$C$52*(1+Supuestos!$C$39)^(AM6-1)&lt;=2*Supuestos!$C$37*(1+Supuestos!$C$39)^(AM6-1),Supuestos!$C$38*(1+Supuestos!$C$39)^(AM6-1)*(1+Supuestos!$C$49),0)</f>
        <v>5144074.74802463</v>
      </c>
      <c r="AN36" s="43" t="n">
        <f aca="false">Supuestos!$C$52*(1+Supuestos!$C$39)^(AN6-1)*(1+Supuestos!$C$48)+IF(Supuestos!$C$52*(1+Supuestos!$C$39)^(AN6-1)&lt;=2*Supuestos!$C$37*(1+Supuestos!$C$39)^(AN6-1),Supuestos!$C$38*(1+Supuestos!$C$39)^(AN6-1)*(1+Supuestos!$C$49),0)</f>
        <v>5144074.74802463</v>
      </c>
      <c r="AO36" s="43" t="n">
        <f aca="false">Supuestos!$C$52*(1+Supuestos!$C$39)^(AO6-1)*(1+Supuestos!$C$48)+IF(Supuestos!$C$52*(1+Supuestos!$C$39)^(AO6-1)&lt;=2*Supuestos!$C$37*(1+Supuestos!$C$39)^(AO6-1),Supuestos!$C$38*(1+Supuestos!$C$39)^(AO6-1)*(1+Supuestos!$C$49),0)</f>
        <v>5144074.74802463</v>
      </c>
      <c r="AP36" s="43" t="n">
        <f aca="false">Supuestos!$C$52*(1+Supuestos!$C$39)^(AP6-1)*(1+Supuestos!$C$48)+IF(Supuestos!$C$52*(1+Supuestos!$C$39)^(AP6-1)&lt;=2*Supuestos!$C$37*(1+Supuestos!$C$39)^(AP6-1),Supuestos!$C$38*(1+Supuestos!$C$39)^(AP6-1)*(1+Supuestos!$C$49),0)</f>
        <v>5144074.74802463</v>
      </c>
      <c r="AQ36" s="43" t="n">
        <f aca="false">Supuestos!$C$52*(1+Supuestos!$C$39)^(AQ6-1)*(1+Supuestos!$C$48)+IF(Supuestos!$C$52*(1+Supuestos!$C$39)^(AQ6-1)&lt;=2*Supuestos!$C$37*(1+Supuestos!$C$39)^(AQ6-1),Supuestos!$C$38*(1+Supuestos!$C$39)^(AQ6-1)*(1+Supuestos!$C$49),0)</f>
        <v>5144074.74802463</v>
      </c>
      <c r="AR36" s="43" t="n">
        <f aca="false">Supuestos!$C$52*(1+Supuestos!$C$39)^(AR6-1)*(1+Supuestos!$C$48)+IF(Supuestos!$C$52*(1+Supuestos!$C$39)^(AR6-1)&lt;=2*Supuestos!$C$37*(1+Supuestos!$C$39)^(AR6-1),Supuestos!$C$38*(1+Supuestos!$C$39)^(AR6-1)*(1+Supuestos!$C$49),0)</f>
        <v>5144074.74802463</v>
      </c>
      <c r="AS36" s="43" t="n">
        <f aca="false">Supuestos!$C$52*(1+Supuestos!$C$39)^(AS6-1)*(1+Supuestos!$C$48)+IF(Supuestos!$C$52*(1+Supuestos!$C$39)^(AS6-1)&lt;=2*Supuestos!$C$37*(1+Supuestos!$C$39)^(AS6-1),Supuestos!$C$38*(1+Supuestos!$C$39)^(AS6-1)*(1+Supuestos!$C$49),0)</f>
        <v>5144074.74802463</v>
      </c>
      <c r="AT36" s="43" t="n">
        <f aca="false">Supuestos!$C$52*(1+Supuestos!$C$39)^(AT6-1)*(1+Supuestos!$C$48)+IF(Supuestos!$C$52*(1+Supuestos!$C$39)^(AT6-1)&lt;=2*Supuestos!$C$37*(1+Supuestos!$C$39)^(AT6-1),Supuestos!$C$38*(1+Supuestos!$C$39)^(AT6-1)*(1+Supuestos!$C$49),0)</f>
        <v>5144074.74802463</v>
      </c>
      <c r="AU36" s="43" t="n">
        <f aca="false">Supuestos!$C$52*(1+Supuestos!$C$39)^(AU6-1)*(1+Supuestos!$C$48)+IF(Supuestos!$C$52*(1+Supuestos!$C$39)^(AU6-1)&lt;=2*Supuestos!$C$37*(1+Supuestos!$C$39)^(AU6-1),Supuestos!$C$38*(1+Supuestos!$C$39)^(AU6-1)*(1+Supuestos!$C$49),0)</f>
        <v>5144074.74802463</v>
      </c>
      <c r="AV36" s="43" t="n">
        <f aca="false">Supuestos!$C$52*(1+Supuestos!$C$39)^(AV6-1)*(1+Supuestos!$C$48)+IF(Supuestos!$C$52*(1+Supuestos!$C$39)^(AV6-1)&lt;=2*Supuestos!$C$37*(1+Supuestos!$C$39)^(AV6-1),Supuestos!$C$38*(1+Supuestos!$C$39)^(AV6-1)*(1+Supuestos!$C$49),0)</f>
        <v>5144074.74802463</v>
      </c>
      <c r="AW36" s="43" t="n">
        <f aca="false">Supuestos!$C$52*(1+Supuestos!$C$39)^(AW6-1)*(1+Supuestos!$C$48)+IF(Supuestos!$C$52*(1+Supuestos!$C$39)^(AW6-1)&lt;=2*Supuestos!$C$37*(1+Supuestos!$C$39)^(AW6-1),Supuestos!$C$38*(1+Supuestos!$C$39)^(AW6-1)*(1+Supuestos!$C$49),0)</f>
        <v>5144074.74802463</v>
      </c>
      <c r="AX36" s="43" t="n">
        <f aca="false">Supuestos!$C$52*(1+Supuestos!$C$39)^(AX6-1)*(1+Supuestos!$C$48)+IF(Supuestos!$C$52*(1+Supuestos!$C$39)^(AX6-1)&lt;=2*Supuestos!$C$37*(1+Supuestos!$C$39)^(AX6-1),Supuestos!$C$38*(1+Supuestos!$C$39)^(AX6-1)*(1+Supuestos!$C$49),0)</f>
        <v>5144074.74802463</v>
      </c>
      <c r="AY36" s="43" t="n">
        <f aca="false">Supuestos!$C$52*(1+Supuestos!$C$39)^(AY6-1)*(1+Supuestos!$C$48)+IF(Supuestos!$C$52*(1+Supuestos!$C$39)^(AY6-1)&lt;=2*Supuestos!$C$37*(1+Supuestos!$C$39)^(AY6-1),Supuestos!$C$38*(1+Supuestos!$C$39)^(AY6-1)*(1+Supuestos!$C$49),0)</f>
        <v>5401278.48542586</v>
      </c>
      <c r="AZ36" s="43" t="n">
        <f aca="false">Supuestos!$C$52*(1+Supuestos!$C$39)^(AZ6-1)*(1+Supuestos!$C$48)+IF(Supuestos!$C$52*(1+Supuestos!$C$39)^(AZ6-1)&lt;=2*Supuestos!$C$37*(1+Supuestos!$C$39)^(AZ6-1),Supuestos!$C$38*(1+Supuestos!$C$39)^(AZ6-1)*(1+Supuestos!$C$49),0)</f>
        <v>5401278.48542586</v>
      </c>
      <c r="BA36" s="43" t="n">
        <f aca="false">Supuestos!$C$52*(1+Supuestos!$C$39)^(BA6-1)*(1+Supuestos!$C$48)+IF(Supuestos!$C$52*(1+Supuestos!$C$39)^(BA6-1)&lt;=2*Supuestos!$C$37*(1+Supuestos!$C$39)^(BA6-1),Supuestos!$C$38*(1+Supuestos!$C$39)^(BA6-1)*(1+Supuestos!$C$49),0)</f>
        <v>5401278.48542586</v>
      </c>
      <c r="BB36" s="43" t="n">
        <f aca="false">Supuestos!$C$52*(1+Supuestos!$C$39)^(BB6-1)*(1+Supuestos!$C$48)+IF(Supuestos!$C$52*(1+Supuestos!$C$39)^(BB6-1)&lt;=2*Supuestos!$C$37*(1+Supuestos!$C$39)^(BB6-1),Supuestos!$C$38*(1+Supuestos!$C$39)^(BB6-1)*(1+Supuestos!$C$49),0)</f>
        <v>5401278.48542586</v>
      </c>
      <c r="BC36" s="43" t="n">
        <f aca="false">Supuestos!$C$52*(1+Supuestos!$C$39)^(BC6-1)*(1+Supuestos!$C$48)+IF(Supuestos!$C$52*(1+Supuestos!$C$39)^(BC6-1)&lt;=2*Supuestos!$C$37*(1+Supuestos!$C$39)^(BC6-1),Supuestos!$C$38*(1+Supuestos!$C$39)^(BC6-1)*(1+Supuestos!$C$49),0)</f>
        <v>5401278.48542586</v>
      </c>
      <c r="BD36" s="43" t="n">
        <f aca="false">Supuestos!$C$52*(1+Supuestos!$C$39)^(BD6-1)*(1+Supuestos!$C$48)+IF(Supuestos!$C$52*(1+Supuestos!$C$39)^(BD6-1)&lt;=2*Supuestos!$C$37*(1+Supuestos!$C$39)^(BD6-1),Supuestos!$C$38*(1+Supuestos!$C$39)^(BD6-1)*(1+Supuestos!$C$49),0)</f>
        <v>5401278.48542586</v>
      </c>
      <c r="BE36" s="43" t="n">
        <f aca="false">Supuestos!$C$52*(1+Supuestos!$C$39)^(BE6-1)*(1+Supuestos!$C$48)+IF(Supuestos!$C$52*(1+Supuestos!$C$39)^(BE6-1)&lt;=2*Supuestos!$C$37*(1+Supuestos!$C$39)^(BE6-1),Supuestos!$C$38*(1+Supuestos!$C$39)^(BE6-1)*(1+Supuestos!$C$49),0)</f>
        <v>5401278.48542586</v>
      </c>
      <c r="BF36" s="43" t="n">
        <f aca="false">Supuestos!$C$52*(1+Supuestos!$C$39)^(BF6-1)*(1+Supuestos!$C$48)+IF(Supuestos!$C$52*(1+Supuestos!$C$39)^(BF6-1)&lt;=2*Supuestos!$C$37*(1+Supuestos!$C$39)^(BF6-1),Supuestos!$C$38*(1+Supuestos!$C$39)^(BF6-1)*(1+Supuestos!$C$49),0)</f>
        <v>5401278.48542586</v>
      </c>
      <c r="BG36" s="43" t="n">
        <f aca="false">Supuestos!$C$52*(1+Supuestos!$C$39)^(BG6-1)*(1+Supuestos!$C$48)+IF(Supuestos!$C$52*(1+Supuestos!$C$39)^(BG6-1)&lt;=2*Supuestos!$C$37*(1+Supuestos!$C$39)^(BG6-1),Supuestos!$C$38*(1+Supuestos!$C$39)^(BG6-1)*(1+Supuestos!$C$49),0)</f>
        <v>5401278.48542586</v>
      </c>
      <c r="BH36" s="43" t="n">
        <f aca="false">Supuestos!$C$52*(1+Supuestos!$C$39)^(BH6-1)*(1+Supuestos!$C$48)+IF(Supuestos!$C$52*(1+Supuestos!$C$39)^(BH6-1)&lt;=2*Supuestos!$C$37*(1+Supuestos!$C$39)^(BH6-1),Supuestos!$C$38*(1+Supuestos!$C$39)^(BH6-1)*(1+Supuestos!$C$49),0)</f>
        <v>5401278.48542586</v>
      </c>
      <c r="BI36" s="43" t="n">
        <f aca="false">Supuestos!$C$52*(1+Supuestos!$C$39)^(BI6-1)*(1+Supuestos!$C$48)+IF(Supuestos!$C$52*(1+Supuestos!$C$39)^(BI6-1)&lt;=2*Supuestos!$C$37*(1+Supuestos!$C$39)^(BI6-1),Supuestos!$C$38*(1+Supuestos!$C$39)^(BI6-1)*(1+Supuestos!$C$49),0)</f>
        <v>5401278.48542586</v>
      </c>
      <c r="BJ36" s="43" t="n">
        <f aca="false">Supuestos!$C$52*(1+Supuestos!$C$39)^(BJ6-1)*(1+Supuestos!$C$48)+IF(Supuestos!$C$52*(1+Supuestos!$C$39)^(BJ6-1)&lt;=2*Supuestos!$C$37*(1+Supuestos!$C$39)^(BJ6-1),Supuestos!$C$38*(1+Supuestos!$C$39)^(BJ6-1)*(1+Supuestos!$C$49),0)</f>
        <v>5401278.48542586</v>
      </c>
    </row>
    <row r="37" customFormat="false" ht="15" hidden="false" customHeight="true" outlineLevel="0" collapsed="false">
      <c r="A37" s="10" t="s">
        <v>198</v>
      </c>
      <c r="B37" s="7" t="s">
        <v>146</v>
      </c>
      <c r="C37" s="43" t="n">
        <f aca="false">C35*C36</f>
        <v>0</v>
      </c>
      <c r="D37" s="43" t="n">
        <f aca="false">D35*D36</f>
        <v>0</v>
      </c>
      <c r="E37" s="43" t="n">
        <f aca="false">E35*E36</f>
        <v>0</v>
      </c>
      <c r="F37" s="43" t="n">
        <f aca="false">F35*F36</f>
        <v>0</v>
      </c>
      <c r="G37" s="43" t="n">
        <f aca="false">G35*G36</f>
        <v>0</v>
      </c>
      <c r="H37" s="43" t="n">
        <f aca="false">H35*H36</f>
        <v>0</v>
      </c>
      <c r="I37" s="43" t="n">
        <f aca="false">I35*I36</f>
        <v>0</v>
      </c>
      <c r="J37" s="43" t="n">
        <f aca="false">J35*J36</f>
        <v>0</v>
      </c>
      <c r="K37" s="43" t="n">
        <f aca="false">K35*K36</f>
        <v>0</v>
      </c>
      <c r="L37" s="43" t="n">
        <f aca="false">L35*L36</f>
        <v>0</v>
      </c>
      <c r="M37" s="43" t="n">
        <f aca="false">M35*M36</f>
        <v>0</v>
      </c>
      <c r="N37" s="43" t="n">
        <f aca="false">N35*N36</f>
        <v>0</v>
      </c>
      <c r="O37" s="43" t="n">
        <f aca="false">O35*O36</f>
        <v>0</v>
      </c>
      <c r="P37" s="43" t="n">
        <f aca="false">P35*P36</f>
        <v>0</v>
      </c>
      <c r="Q37" s="43" t="n">
        <f aca="false">Q35*Q36</f>
        <v>0</v>
      </c>
      <c r="R37" s="43" t="n">
        <f aca="false">R35*R36</f>
        <v>0</v>
      </c>
      <c r="S37" s="43" t="n">
        <f aca="false">S35*S36</f>
        <v>0</v>
      </c>
      <c r="T37" s="43" t="n">
        <f aca="false">T35*T36</f>
        <v>0</v>
      </c>
      <c r="U37" s="43" t="n">
        <f aca="false">U35*U36</f>
        <v>0</v>
      </c>
      <c r="V37" s="43" t="n">
        <f aca="false">V35*V36</f>
        <v>0</v>
      </c>
      <c r="W37" s="43" t="n">
        <f aca="false">W35*W36</f>
        <v>0</v>
      </c>
      <c r="X37" s="43" t="n">
        <f aca="false">X35*X36</f>
        <v>0</v>
      </c>
      <c r="Y37" s="43" t="n">
        <f aca="false">Y35*Y36</f>
        <v>0</v>
      </c>
      <c r="Z37" s="43" t="n">
        <f aca="false">Z35*Z36</f>
        <v>0</v>
      </c>
      <c r="AA37" s="43" t="n">
        <f aca="false">AA35*AA36</f>
        <v>14697356.4229275</v>
      </c>
      <c r="AB37" s="43" t="n">
        <f aca="false">AB35*AB36</f>
        <v>14697356.4229275</v>
      </c>
      <c r="AC37" s="43" t="n">
        <f aca="false">AC35*AC36</f>
        <v>14697356.4229275</v>
      </c>
      <c r="AD37" s="43" t="n">
        <f aca="false">AD35*AD36</f>
        <v>14697356.4229275</v>
      </c>
      <c r="AE37" s="43" t="n">
        <f aca="false">AE35*AE36</f>
        <v>14697356.4229275</v>
      </c>
      <c r="AF37" s="43" t="n">
        <f aca="false">AF35*AF36</f>
        <v>14697356.4229275</v>
      </c>
      <c r="AG37" s="43" t="n">
        <f aca="false">AG35*AG36</f>
        <v>14697356.4229275</v>
      </c>
      <c r="AH37" s="43" t="n">
        <f aca="false">AH35*AH36</f>
        <v>14697356.4229275</v>
      </c>
      <c r="AI37" s="43" t="n">
        <f aca="false">AI35*AI36</f>
        <v>14697356.4229275</v>
      </c>
      <c r="AJ37" s="43" t="n">
        <f aca="false">AJ35*AJ36</f>
        <v>14697356.4229275</v>
      </c>
      <c r="AK37" s="43" t="n">
        <f aca="false">AK35*AK36</f>
        <v>14697356.4229275</v>
      </c>
      <c r="AL37" s="43" t="n">
        <f aca="false">AL35*AL36</f>
        <v>14697356.4229275</v>
      </c>
      <c r="AM37" s="43" t="n">
        <f aca="false">AM35*AM36</f>
        <v>15432224.2440739</v>
      </c>
      <c r="AN37" s="43" t="n">
        <f aca="false">AN35*AN36</f>
        <v>15432224.2440739</v>
      </c>
      <c r="AO37" s="43" t="n">
        <f aca="false">AO35*AO36</f>
        <v>15432224.2440739</v>
      </c>
      <c r="AP37" s="43" t="n">
        <f aca="false">AP35*AP36</f>
        <v>15432224.2440739</v>
      </c>
      <c r="AQ37" s="43" t="n">
        <f aca="false">AQ35*AQ36</f>
        <v>15432224.2440739</v>
      </c>
      <c r="AR37" s="43" t="n">
        <f aca="false">AR35*AR36</f>
        <v>15432224.2440739</v>
      </c>
      <c r="AS37" s="43" t="n">
        <f aca="false">AS35*AS36</f>
        <v>15432224.2440739</v>
      </c>
      <c r="AT37" s="43" t="n">
        <f aca="false">AT35*AT36</f>
        <v>15432224.2440739</v>
      </c>
      <c r="AU37" s="43" t="n">
        <f aca="false">AU35*AU36</f>
        <v>15432224.2440739</v>
      </c>
      <c r="AV37" s="43" t="n">
        <f aca="false">AV35*AV36</f>
        <v>15432224.2440739</v>
      </c>
      <c r="AW37" s="43" t="n">
        <f aca="false">AW35*AW36</f>
        <v>15432224.2440739</v>
      </c>
      <c r="AX37" s="43" t="n">
        <f aca="false">AX35*AX36</f>
        <v>15432224.2440739</v>
      </c>
      <c r="AY37" s="43" t="n">
        <f aca="false">AY35*AY36</f>
        <v>16203835.4562776</v>
      </c>
      <c r="AZ37" s="43" t="n">
        <f aca="false">AZ35*AZ36</f>
        <v>16203835.4562776</v>
      </c>
      <c r="BA37" s="43" t="n">
        <f aca="false">BA35*BA36</f>
        <v>16203835.4562776</v>
      </c>
      <c r="BB37" s="43" t="n">
        <f aca="false">BB35*BB36</f>
        <v>16203835.4562776</v>
      </c>
      <c r="BC37" s="43" t="n">
        <f aca="false">BC35*BC36</f>
        <v>16203835.4562776</v>
      </c>
      <c r="BD37" s="43" t="n">
        <f aca="false">BD35*BD36</f>
        <v>16203835.4562776</v>
      </c>
      <c r="BE37" s="43" t="n">
        <f aca="false">BE35*BE36</f>
        <v>16203835.4562776</v>
      </c>
      <c r="BF37" s="43" t="n">
        <f aca="false">BF35*BF36</f>
        <v>16203835.4562776</v>
      </c>
      <c r="BG37" s="43" t="n">
        <f aca="false">BG35*BG36</f>
        <v>16203835.4562776</v>
      </c>
      <c r="BH37" s="43" t="n">
        <f aca="false">BH35*BH36</f>
        <v>16203835.4562776</v>
      </c>
      <c r="BI37" s="43" t="n">
        <f aca="false">BI35*BI36</f>
        <v>16203835.4562776</v>
      </c>
      <c r="BJ37" s="43" t="n">
        <f aca="false">BJ35*BJ36</f>
        <v>16203835.4562776</v>
      </c>
    </row>
    <row r="38" customFormat="false" ht="15" hidden="false" customHeight="true" outlineLevel="0" collapsed="false">
      <c r="A38" s="10" t="s">
        <v>262</v>
      </c>
      <c r="B38" s="7" t="s">
        <v>109</v>
      </c>
      <c r="C38" s="39" t="n">
        <f aca="false">Supuestos!$C$51+C32</f>
        <v>3</v>
      </c>
      <c r="D38" s="39" t="n">
        <f aca="false">Supuestos!$C$51+D32</f>
        <v>3</v>
      </c>
      <c r="E38" s="39" t="n">
        <f aca="false">Supuestos!$C$51+E32</f>
        <v>3</v>
      </c>
      <c r="F38" s="39" t="n">
        <f aca="false">Supuestos!$C$51+F32</f>
        <v>3</v>
      </c>
      <c r="G38" s="39" t="n">
        <f aca="false">Supuestos!$C$51+G32</f>
        <v>3</v>
      </c>
      <c r="H38" s="39" t="n">
        <f aca="false">Supuestos!$C$51+H32</f>
        <v>3</v>
      </c>
      <c r="I38" s="39" t="n">
        <f aca="false">Supuestos!$C$51+I32</f>
        <v>3</v>
      </c>
      <c r="J38" s="39" t="n">
        <f aca="false">Supuestos!$C$51+J32</f>
        <v>3</v>
      </c>
      <c r="K38" s="39" t="n">
        <f aca="false">Supuestos!$C$51+K32</f>
        <v>3</v>
      </c>
      <c r="L38" s="39" t="n">
        <f aca="false">Supuestos!$C$51+L32</f>
        <v>3</v>
      </c>
      <c r="M38" s="39" t="n">
        <f aca="false">Supuestos!$C$51+M32</f>
        <v>3</v>
      </c>
      <c r="N38" s="39" t="n">
        <f aca="false">Supuestos!$C$51+N32</f>
        <v>3</v>
      </c>
      <c r="O38" s="39" t="n">
        <f aca="false">Supuestos!$C$51+O32</f>
        <v>3</v>
      </c>
      <c r="P38" s="39" t="n">
        <f aca="false">Supuestos!$C$51+P32</f>
        <v>3</v>
      </c>
      <c r="Q38" s="39" t="n">
        <f aca="false">Supuestos!$C$51+Q32</f>
        <v>3</v>
      </c>
      <c r="R38" s="39" t="n">
        <f aca="false">Supuestos!$C$51+R32</f>
        <v>3</v>
      </c>
      <c r="S38" s="39" t="n">
        <f aca="false">Supuestos!$C$51+S32</f>
        <v>3</v>
      </c>
      <c r="T38" s="39" t="n">
        <f aca="false">Supuestos!$C$51+T32</f>
        <v>3</v>
      </c>
      <c r="U38" s="39" t="n">
        <f aca="false">Supuestos!$C$51+U32</f>
        <v>3</v>
      </c>
      <c r="V38" s="39" t="n">
        <f aca="false">Supuestos!$C$51+V32</f>
        <v>3</v>
      </c>
      <c r="W38" s="39" t="n">
        <f aca="false">Supuestos!$C$51+W32</f>
        <v>4</v>
      </c>
      <c r="X38" s="39" t="n">
        <f aca="false">Supuestos!$C$51+X32</f>
        <v>4</v>
      </c>
      <c r="Y38" s="39" t="n">
        <f aca="false">Supuestos!$C$51+Y32</f>
        <v>4</v>
      </c>
      <c r="Z38" s="39" t="n">
        <f aca="false">Supuestos!$C$51+Z32</f>
        <v>4</v>
      </c>
      <c r="AA38" s="39" t="n">
        <f aca="false">Supuestos!$C$51+AA32</f>
        <v>4</v>
      </c>
      <c r="AB38" s="39" t="n">
        <f aca="false">Supuestos!$C$51+AB32</f>
        <v>4</v>
      </c>
      <c r="AC38" s="39" t="n">
        <f aca="false">Supuestos!$C$51+AC32</f>
        <v>4</v>
      </c>
      <c r="AD38" s="39" t="n">
        <f aca="false">Supuestos!$C$51+AD32</f>
        <v>4</v>
      </c>
      <c r="AE38" s="39" t="n">
        <f aca="false">Supuestos!$C$51+AE32</f>
        <v>4</v>
      </c>
      <c r="AF38" s="39" t="n">
        <f aca="false">Supuestos!$C$51+AF32</f>
        <v>4</v>
      </c>
      <c r="AG38" s="39" t="n">
        <f aca="false">Supuestos!$C$51+AG32</f>
        <v>4</v>
      </c>
      <c r="AH38" s="39" t="n">
        <f aca="false">Supuestos!$C$51+AH32</f>
        <v>4</v>
      </c>
      <c r="AI38" s="39" t="n">
        <f aca="false">Supuestos!$C$51+AI32</f>
        <v>4</v>
      </c>
      <c r="AJ38" s="39" t="n">
        <f aca="false">Supuestos!$C$51+AJ32</f>
        <v>4</v>
      </c>
      <c r="AK38" s="39" t="n">
        <f aca="false">Supuestos!$C$51+AK32</f>
        <v>5</v>
      </c>
      <c r="AL38" s="39" t="n">
        <f aca="false">Supuestos!$C$51+AL32</f>
        <v>5</v>
      </c>
      <c r="AM38" s="39" t="n">
        <f aca="false">Supuestos!$C$51+AM32</f>
        <v>5</v>
      </c>
      <c r="AN38" s="39" t="n">
        <f aca="false">Supuestos!$C$51+AN32</f>
        <v>5</v>
      </c>
      <c r="AO38" s="39" t="n">
        <f aca="false">Supuestos!$C$51+AO32</f>
        <v>5</v>
      </c>
      <c r="AP38" s="39" t="n">
        <f aca="false">Supuestos!$C$51+AP32</f>
        <v>5</v>
      </c>
      <c r="AQ38" s="39" t="n">
        <f aca="false">Supuestos!$C$51+AQ32</f>
        <v>5</v>
      </c>
      <c r="AR38" s="39" t="n">
        <f aca="false">Supuestos!$C$51+AR32</f>
        <v>5</v>
      </c>
      <c r="AS38" s="39" t="n">
        <f aca="false">Supuestos!$C$51+AS32</f>
        <v>5</v>
      </c>
      <c r="AT38" s="39" t="n">
        <f aca="false">Supuestos!$C$51+AT32</f>
        <v>5</v>
      </c>
      <c r="AU38" s="39" t="n">
        <f aca="false">Supuestos!$C$51+AU32</f>
        <v>6</v>
      </c>
      <c r="AV38" s="39" t="n">
        <f aca="false">Supuestos!$C$51+AV32</f>
        <v>6</v>
      </c>
      <c r="AW38" s="39" t="n">
        <f aca="false">Supuestos!$C$51+AW32</f>
        <v>6</v>
      </c>
      <c r="AX38" s="39" t="n">
        <f aca="false">Supuestos!$C$51+AX32</f>
        <v>6</v>
      </c>
      <c r="AY38" s="39" t="n">
        <f aca="false">Supuestos!$C$51+AY32</f>
        <v>6</v>
      </c>
      <c r="AZ38" s="39" t="n">
        <f aca="false">Supuestos!$C$51+AZ32</f>
        <v>6</v>
      </c>
      <c r="BA38" s="39" t="n">
        <f aca="false">Supuestos!$C$51+BA32</f>
        <v>6</v>
      </c>
      <c r="BB38" s="39" t="n">
        <f aca="false">Supuestos!$C$51+BB32</f>
        <v>6</v>
      </c>
      <c r="BC38" s="39" t="n">
        <f aca="false">Supuestos!$C$51+BC32</f>
        <v>6</v>
      </c>
      <c r="BD38" s="39" t="n">
        <f aca="false">Supuestos!$C$51+BD32</f>
        <v>7</v>
      </c>
      <c r="BE38" s="39" t="n">
        <f aca="false">Supuestos!$C$51+BE32</f>
        <v>7</v>
      </c>
      <c r="BF38" s="39" t="n">
        <f aca="false">Supuestos!$C$51+BF32</f>
        <v>7</v>
      </c>
      <c r="BG38" s="39" t="n">
        <f aca="false">Supuestos!$C$51+BG32</f>
        <v>7</v>
      </c>
      <c r="BH38" s="39" t="n">
        <f aca="false">Supuestos!$C$51+BH32</f>
        <v>7</v>
      </c>
      <c r="BI38" s="39" t="n">
        <f aca="false">Supuestos!$C$51+BI32</f>
        <v>7</v>
      </c>
      <c r="BJ38" s="39" t="n">
        <f aca="false">Supuestos!$C$51+BJ32</f>
        <v>7</v>
      </c>
    </row>
    <row r="40" customFormat="false" ht="15" hidden="false" customHeight="true" outlineLevel="0" collapsed="false">
      <c r="A40" s="28" t="s">
        <v>263</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row>
    <row r="41" customFormat="false" ht="15" hidden="false" customHeight="true" outlineLevel="0" collapsed="false">
      <c r="A41" s="10" t="s">
        <v>264</v>
      </c>
      <c r="B41" s="7" t="s">
        <v>146</v>
      </c>
      <c r="C41" s="43" t="n">
        <f aca="false">C34+C37</f>
        <v>0</v>
      </c>
      <c r="D41" s="43" t="n">
        <f aca="false">D34+D37</f>
        <v>0</v>
      </c>
      <c r="E41" s="43" t="n">
        <f aca="false">E34+E37</f>
        <v>0</v>
      </c>
      <c r="F41" s="43" t="n">
        <f aca="false">F34+F37</f>
        <v>0</v>
      </c>
      <c r="G41" s="43" t="n">
        <f aca="false">G34+G37</f>
        <v>0</v>
      </c>
      <c r="H41" s="43" t="n">
        <f aca="false">H34+H37</f>
        <v>0</v>
      </c>
      <c r="I41" s="43" t="n">
        <f aca="false">I34+I37</f>
        <v>0</v>
      </c>
      <c r="J41" s="43" t="n">
        <f aca="false">J34+J37</f>
        <v>0</v>
      </c>
      <c r="K41" s="43" t="n">
        <f aca="false">K34+K37</f>
        <v>0</v>
      </c>
      <c r="L41" s="43" t="n">
        <f aca="false">L34+L37</f>
        <v>0</v>
      </c>
      <c r="M41" s="43" t="n">
        <f aca="false">M34+M37</f>
        <v>0</v>
      </c>
      <c r="N41" s="43" t="n">
        <f aca="false">N34+N37</f>
        <v>0</v>
      </c>
      <c r="O41" s="43" t="n">
        <f aca="false">O34+O37</f>
        <v>0</v>
      </c>
      <c r="P41" s="43" t="n">
        <f aca="false">P34+P37</f>
        <v>0</v>
      </c>
      <c r="Q41" s="43" t="n">
        <f aca="false">Q34+Q37</f>
        <v>0</v>
      </c>
      <c r="R41" s="43" t="n">
        <f aca="false">R34+R37</f>
        <v>0</v>
      </c>
      <c r="S41" s="43" t="n">
        <f aca="false">S34+S37</f>
        <v>0</v>
      </c>
      <c r="T41" s="43" t="n">
        <f aca="false">T34+T37</f>
        <v>0</v>
      </c>
      <c r="U41" s="43" t="n">
        <f aca="false">U34+U37</f>
        <v>0</v>
      </c>
      <c r="V41" s="43" t="n">
        <f aca="false">V34+V37</f>
        <v>0</v>
      </c>
      <c r="W41" s="43" t="n">
        <f aca="false">W34+W37</f>
        <v>3213131.43585</v>
      </c>
      <c r="X41" s="43" t="n">
        <f aca="false">X34+X37</f>
        <v>3213131.43585</v>
      </c>
      <c r="Y41" s="43" t="n">
        <f aca="false">Y34+Y37</f>
        <v>3213131.43585</v>
      </c>
      <c r="Z41" s="43" t="n">
        <f aca="false">Z34+Z37</f>
        <v>3213131.43585</v>
      </c>
      <c r="AA41" s="43" t="n">
        <f aca="false">AA34+AA37</f>
        <v>18071144.43057</v>
      </c>
      <c r="AB41" s="43" t="n">
        <f aca="false">AB34+AB37</f>
        <v>18071144.43057</v>
      </c>
      <c r="AC41" s="43" t="n">
        <f aca="false">AC34+AC37</f>
        <v>18071144.43057</v>
      </c>
      <c r="AD41" s="43" t="n">
        <f aca="false">AD34+AD37</f>
        <v>18071144.43057</v>
      </c>
      <c r="AE41" s="43" t="n">
        <f aca="false">AE34+AE37</f>
        <v>18071144.43057</v>
      </c>
      <c r="AF41" s="43" t="n">
        <f aca="false">AF34+AF37</f>
        <v>18071144.43057</v>
      </c>
      <c r="AG41" s="43" t="n">
        <f aca="false">AG34+AG37</f>
        <v>18071144.43057</v>
      </c>
      <c r="AH41" s="43" t="n">
        <f aca="false">AH34+AH37</f>
        <v>18071144.43057</v>
      </c>
      <c r="AI41" s="43" t="n">
        <f aca="false">AI34+AI37</f>
        <v>18071144.43057</v>
      </c>
      <c r="AJ41" s="43" t="n">
        <f aca="false">AJ34+AJ37</f>
        <v>18071144.43057</v>
      </c>
      <c r="AK41" s="43" t="n">
        <f aca="false">AK34+AK37</f>
        <v>21444932.4382125</v>
      </c>
      <c r="AL41" s="43" t="n">
        <f aca="false">AL34+AL37</f>
        <v>21444932.4382125</v>
      </c>
      <c r="AM41" s="43" t="n">
        <f aca="false">AM34+AM37</f>
        <v>22517179.0601231</v>
      </c>
      <c r="AN41" s="43" t="n">
        <f aca="false">AN34+AN37</f>
        <v>22517179.0601231</v>
      </c>
      <c r="AO41" s="43" t="n">
        <f aca="false">AO34+AO37</f>
        <v>22517179.0601231</v>
      </c>
      <c r="AP41" s="43" t="n">
        <f aca="false">AP34+AP37</f>
        <v>22517179.0601231</v>
      </c>
      <c r="AQ41" s="43" t="n">
        <f aca="false">AQ34+AQ37</f>
        <v>22517179.0601231</v>
      </c>
      <c r="AR41" s="43" t="n">
        <f aca="false">AR34+AR37</f>
        <v>22517179.0601231</v>
      </c>
      <c r="AS41" s="43" t="n">
        <f aca="false">AS34+AS37</f>
        <v>22517179.0601231</v>
      </c>
      <c r="AT41" s="43" t="n">
        <f aca="false">AT34+AT37</f>
        <v>22517179.0601231</v>
      </c>
      <c r="AU41" s="43" t="n">
        <f aca="false">AU34+AU37</f>
        <v>26059656.4681478</v>
      </c>
      <c r="AV41" s="43" t="n">
        <f aca="false">AV34+AV37</f>
        <v>26059656.4681478</v>
      </c>
      <c r="AW41" s="43" t="n">
        <f aca="false">AW34+AW37</f>
        <v>26059656.4681478</v>
      </c>
      <c r="AX41" s="43" t="n">
        <f aca="false">AX34+AX37</f>
        <v>26059656.4681478</v>
      </c>
      <c r="AY41" s="43" t="n">
        <f aca="false">AY34+AY37</f>
        <v>27362639.2915551</v>
      </c>
      <c r="AZ41" s="43" t="n">
        <f aca="false">AZ34+AZ37</f>
        <v>27362639.2915551</v>
      </c>
      <c r="BA41" s="43" t="n">
        <f aca="false">BA34+BA37</f>
        <v>27362639.2915551</v>
      </c>
      <c r="BB41" s="43" t="n">
        <f aca="false">BB34+BB37</f>
        <v>27362639.2915551</v>
      </c>
      <c r="BC41" s="43" t="n">
        <f aca="false">BC34+BC37</f>
        <v>27362639.2915551</v>
      </c>
      <c r="BD41" s="43" t="n">
        <f aca="false">BD34+BD37</f>
        <v>31082240.569981</v>
      </c>
      <c r="BE41" s="43" t="n">
        <f aca="false">BE34+BE37</f>
        <v>31082240.569981</v>
      </c>
      <c r="BF41" s="43" t="n">
        <f aca="false">BF34+BF37</f>
        <v>31082240.569981</v>
      </c>
      <c r="BG41" s="43" t="n">
        <f aca="false">BG34+BG37</f>
        <v>31082240.569981</v>
      </c>
      <c r="BH41" s="43" t="n">
        <f aca="false">BH34+BH37</f>
        <v>31082240.569981</v>
      </c>
      <c r="BI41" s="43" t="n">
        <f aca="false">BI34+BI37</f>
        <v>31082240.569981</v>
      </c>
      <c r="BJ41" s="43" t="n">
        <f aca="false">BJ34+BJ37</f>
        <v>31082240.569981</v>
      </c>
    </row>
    <row r="42" customFormat="false" ht="15" hidden="false" customHeight="true" outlineLevel="0" collapsed="false">
      <c r="A42" s="10" t="s">
        <v>265</v>
      </c>
      <c r="B42" s="7" t="s">
        <v>146</v>
      </c>
      <c r="C42" s="43" t="n">
        <f aca="false">C13*INDEX(Supuestos!$C$17:$E$17,1,$B$2)*(1+Supuestos!$C$39)^(C6-1)</f>
        <v>624750</v>
      </c>
      <c r="D42" s="43" t="n">
        <f aca="false">D13*INDEX(Supuestos!$C$17:$E$17,1,$B$2)*(1+Supuestos!$C$39)^(D6-1)</f>
        <v>325245</v>
      </c>
      <c r="E42" s="43" t="n">
        <f aca="false">E13*INDEX(Supuestos!$C$17:$E$17,1,$B$2)*(1+Supuestos!$C$39)^(E6-1)</f>
        <v>643500</v>
      </c>
      <c r="F42" s="43" t="n">
        <f aca="false">F13*INDEX(Supuestos!$C$17:$E$17,1,$B$2)*(1+Supuestos!$C$39)^(F6-1)</f>
        <v>656745</v>
      </c>
      <c r="G42" s="43" t="n">
        <f aca="false">G13*INDEX(Supuestos!$C$17:$E$17,1,$B$2)*(1+Supuestos!$C$39)^(G6-1)</f>
        <v>668505</v>
      </c>
      <c r="H42" s="43" t="n">
        <f aca="false">H13*INDEX(Supuestos!$C$17:$E$17,1,$B$2)*(1+Supuestos!$C$39)^(H6-1)</f>
        <v>681000</v>
      </c>
      <c r="I42" s="43" t="n">
        <f aca="false">I13*INDEX(Supuestos!$C$17:$E$17,1,$B$2)*(1+Supuestos!$C$39)^(I6-1)</f>
        <v>694244.999999999</v>
      </c>
      <c r="J42" s="43" t="n">
        <f aca="false">J13*INDEX(Supuestos!$C$17:$E$17,1,$B$2)*(1+Supuestos!$C$39)^(J6-1)</f>
        <v>1018755</v>
      </c>
      <c r="K42" s="43" t="n">
        <f aca="false">K13*INDEX(Supuestos!$C$17:$E$17,1,$B$2)*(1+Supuestos!$C$39)^(K6-1)</f>
        <v>724755</v>
      </c>
      <c r="L42" s="43" t="n">
        <f aca="false">L13*INDEX(Supuestos!$C$17:$E$17,1,$B$2)*(1+Supuestos!$C$39)^(L6-1)</f>
        <v>737250</v>
      </c>
      <c r="M42" s="43" t="n">
        <f aca="false">M13*INDEX(Supuestos!$C$17:$E$17,1,$B$2)*(1+Supuestos!$C$39)^(M6-1)</f>
        <v>750494.999999999</v>
      </c>
      <c r="N42" s="43" t="n">
        <f aca="false">N13*INDEX(Supuestos!$C$17:$E$17,1,$B$2)*(1+Supuestos!$C$39)^(N6-1)</f>
        <v>762255</v>
      </c>
      <c r="O42" s="43" t="n">
        <f aca="false">O13*INDEX(Supuestos!$C$17:$E$17,1,$B$2)*(1+Supuestos!$C$39)^(O6-1)</f>
        <v>1251250</v>
      </c>
      <c r="P42" s="43" t="n">
        <f aca="false">P13*INDEX(Supuestos!$C$17:$E$17,1,$B$2)*(1+Supuestos!$C$39)^(P6-1)</f>
        <v>1273125</v>
      </c>
      <c r="Q42" s="43" t="n">
        <f aca="false">Q13*INDEX(Supuestos!$C$17:$E$17,1,$B$2)*(1+Supuestos!$C$39)^(Q6-1)</f>
        <v>1295000</v>
      </c>
      <c r="R42" s="43" t="n">
        <f aca="false">R13*INDEX(Supuestos!$C$17:$E$17,1,$B$2)*(1+Supuestos!$C$39)^(R6-1)</f>
        <v>1316875</v>
      </c>
      <c r="S42" s="43" t="n">
        <f aca="false">S13*INDEX(Supuestos!$C$17:$E$17,1,$B$2)*(1+Supuestos!$C$39)^(S6-1)</f>
        <v>1338750</v>
      </c>
      <c r="T42" s="43" t="n">
        <f aca="false">T13*INDEX(Supuestos!$C$17:$E$17,1,$B$2)*(1+Supuestos!$C$39)^(T6-1)</f>
        <v>1360625</v>
      </c>
      <c r="U42" s="43" t="n">
        <f aca="false">U13*INDEX(Supuestos!$C$17:$E$17,1,$B$2)*(1+Supuestos!$C$39)^(U6-1)</f>
        <v>1382500</v>
      </c>
      <c r="V42" s="43" t="n">
        <f aca="false">V13*INDEX(Supuestos!$C$17:$E$17,1,$B$2)*(1+Supuestos!$C$39)^(V6-1)</f>
        <v>1404375</v>
      </c>
      <c r="W42" s="43" t="n">
        <f aca="false">W13*INDEX(Supuestos!$C$17:$E$17,1,$B$2)*(1+Supuestos!$C$39)^(W6-1)</f>
        <v>1426250</v>
      </c>
      <c r="X42" s="43" t="n">
        <f aca="false">X13*INDEX(Supuestos!$C$17:$E$17,1,$B$2)*(1+Supuestos!$C$39)^(X6-1)</f>
        <v>1448125</v>
      </c>
      <c r="Y42" s="43" t="n">
        <f aca="false">Y13*INDEX(Supuestos!$C$17:$E$17,1,$B$2)*(1+Supuestos!$C$39)^(Y6-1)</f>
        <v>1470000</v>
      </c>
      <c r="Z42" s="43" t="n">
        <f aca="false">Z13*INDEX(Supuestos!$C$17:$E$17,1,$B$2)*(1+Supuestos!$C$39)^(Z6-1)</f>
        <v>1491875</v>
      </c>
      <c r="AA42" s="43" t="n">
        <f aca="false">AA13*INDEX(Supuestos!$C$17:$E$17,1,$B$2)*(1+Supuestos!$C$39)^(AA6-1)</f>
        <v>2278500</v>
      </c>
      <c r="AB42" s="43" t="n">
        <f aca="false">AB13*INDEX(Supuestos!$C$17:$E$17,1,$B$2)*(1+Supuestos!$C$39)^(AB6-1)</f>
        <v>2315250</v>
      </c>
      <c r="AC42" s="43" t="n">
        <f aca="false">AC13*INDEX(Supuestos!$C$17:$E$17,1,$B$2)*(1+Supuestos!$C$39)^(AC6-1)</f>
        <v>2352000</v>
      </c>
      <c r="AD42" s="43" t="n">
        <f aca="false">AD13*INDEX(Supuestos!$C$17:$E$17,1,$B$2)*(1+Supuestos!$C$39)^(AD6-1)</f>
        <v>2388750</v>
      </c>
      <c r="AE42" s="43" t="n">
        <f aca="false">AE13*INDEX(Supuestos!$C$17:$E$17,1,$B$2)*(1+Supuestos!$C$39)^(AE6-1)</f>
        <v>2425499.99999999</v>
      </c>
      <c r="AF42" s="43" t="n">
        <f aca="false">AF13*INDEX(Supuestos!$C$17:$E$17,1,$B$2)*(1+Supuestos!$C$39)^(AF6-1)</f>
        <v>2462250</v>
      </c>
      <c r="AG42" s="43" t="n">
        <f aca="false">AG13*INDEX(Supuestos!$C$17:$E$17,1,$B$2)*(1+Supuestos!$C$39)^(AG6-1)</f>
        <v>2499000</v>
      </c>
      <c r="AH42" s="43" t="n">
        <f aca="false">AH13*INDEX(Supuestos!$C$17:$E$17,1,$B$2)*(1+Supuestos!$C$39)^(AH6-1)</f>
        <v>2535750</v>
      </c>
      <c r="AI42" s="43" t="n">
        <f aca="false">AI13*INDEX(Supuestos!$C$17:$E$17,1,$B$2)*(1+Supuestos!$C$39)^(AI6-1)</f>
        <v>2572500</v>
      </c>
      <c r="AJ42" s="43" t="n">
        <f aca="false">AJ13*INDEX(Supuestos!$C$17:$E$17,1,$B$2)*(1+Supuestos!$C$39)^(AJ6-1)</f>
        <v>2609250</v>
      </c>
      <c r="AK42" s="43" t="n">
        <f aca="false">AK13*INDEX(Supuestos!$C$17:$E$17,1,$B$2)*(1+Supuestos!$C$39)^(AK6-1)</f>
        <v>2646000.00000001</v>
      </c>
      <c r="AL42" s="43" t="n">
        <f aca="false">AL13*INDEX(Supuestos!$C$17:$E$17,1,$B$2)*(1+Supuestos!$C$39)^(AL6-1)</f>
        <v>2682750</v>
      </c>
      <c r="AM42" s="43" t="n">
        <f aca="false">AM13*INDEX(Supuestos!$C$17:$E$17,1,$B$2)*(1+Supuestos!$C$39)^(AM6-1)</f>
        <v>2855475</v>
      </c>
      <c r="AN42" s="43" t="n">
        <f aca="false">AN13*INDEX(Supuestos!$C$17:$E$17,1,$B$2)*(1+Supuestos!$C$39)^(AN6-1)</f>
        <v>2894062.49999999</v>
      </c>
      <c r="AO42" s="43" t="n">
        <f aca="false">AO13*INDEX(Supuestos!$C$17:$E$17,1,$B$2)*(1+Supuestos!$C$39)^(AO6-1)</f>
        <v>2932650</v>
      </c>
      <c r="AP42" s="43" t="n">
        <f aca="false">AP13*INDEX(Supuestos!$C$17:$E$17,1,$B$2)*(1+Supuestos!$C$39)^(AP6-1)</f>
        <v>2971237.5</v>
      </c>
      <c r="AQ42" s="43" t="n">
        <f aca="false">AQ13*INDEX(Supuestos!$C$17:$E$17,1,$B$2)*(1+Supuestos!$C$39)^(AQ6-1)</f>
        <v>3009824.99999999</v>
      </c>
      <c r="AR42" s="43" t="n">
        <f aca="false">AR13*INDEX(Supuestos!$C$17:$E$17,1,$B$2)*(1+Supuestos!$C$39)^(AR6-1)</f>
        <v>3048412.5</v>
      </c>
      <c r="AS42" s="43" t="n">
        <f aca="false">AS13*INDEX(Supuestos!$C$17:$E$17,1,$B$2)*(1+Supuestos!$C$39)^(AS6-1)</f>
        <v>3087000</v>
      </c>
      <c r="AT42" s="43" t="n">
        <f aca="false">AT13*INDEX(Supuestos!$C$17:$E$17,1,$B$2)*(1+Supuestos!$C$39)^(AT6-1)</f>
        <v>3125587.50000001</v>
      </c>
      <c r="AU42" s="43" t="n">
        <f aca="false">AU13*INDEX(Supuestos!$C$17:$E$17,1,$B$2)*(1+Supuestos!$C$39)^(AU6-1)</f>
        <v>3164174.99999999</v>
      </c>
      <c r="AV42" s="43" t="n">
        <f aca="false">AV13*INDEX(Supuestos!$C$17:$E$17,1,$B$2)*(1+Supuestos!$C$39)^(AV6-1)</f>
        <v>3202762.5</v>
      </c>
      <c r="AW42" s="43" t="n">
        <f aca="false">AW13*INDEX(Supuestos!$C$17:$E$17,1,$B$2)*(1+Supuestos!$C$39)^(AW6-1)</f>
        <v>3241350.00000001</v>
      </c>
      <c r="AX42" s="43" t="n">
        <f aca="false">AX13*INDEX(Supuestos!$C$17:$E$17,1,$B$2)*(1+Supuestos!$C$39)^(AX6-1)</f>
        <v>3279937.49999999</v>
      </c>
      <c r="AY42" s="43" t="n">
        <f aca="false">AY13*INDEX(Supuestos!$C$17:$E$17,1,$B$2)*(1+Supuestos!$C$39)^(AY6-1)</f>
        <v>3484451.25</v>
      </c>
      <c r="AZ42" s="43" t="n">
        <f aca="false">AZ13*INDEX(Supuestos!$C$17:$E$17,1,$B$2)*(1+Supuestos!$C$39)^(AZ6-1)</f>
        <v>3524968.12500001</v>
      </c>
      <c r="BA42" s="43" t="n">
        <f aca="false">BA13*INDEX(Supuestos!$C$17:$E$17,1,$B$2)*(1+Supuestos!$C$39)^(BA6-1)</f>
        <v>3565484.99999999</v>
      </c>
      <c r="BB42" s="43" t="n">
        <f aca="false">BB13*INDEX(Supuestos!$C$17:$E$17,1,$B$2)*(1+Supuestos!$C$39)^(BB6-1)</f>
        <v>3606001.875</v>
      </c>
      <c r="BC42" s="43" t="n">
        <f aca="false">BC13*INDEX(Supuestos!$C$17:$E$17,1,$B$2)*(1+Supuestos!$C$39)^(BC6-1)</f>
        <v>3646518.75000001</v>
      </c>
      <c r="BD42" s="43" t="n">
        <f aca="false">BD13*INDEX(Supuestos!$C$17:$E$17,1,$B$2)*(1+Supuestos!$C$39)^(BD6-1)</f>
        <v>3687035.62499999</v>
      </c>
      <c r="BE42" s="43" t="n">
        <f aca="false">BE13*INDEX(Supuestos!$C$17:$E$17,1,$B$2)*(1+Supuestos!$C$39)^(BE6-1)</f>
        <v>3727552.5</v>
      </c>
      <c r="BF42" s="43" t="n">
        <f aca="false">BF13*INDEX(Supuestos!$C$17:$E$17,1,$B$2)*(1+Supuestos!$C$39)^(BF6-1)</f>
        <v>3768069.37500001</v>
      </c>
      <c r="BG42" s="43" t="n">
        <f aca="false">BG13*INDEX(Supuestos!$C$17:$E$17,1,$B$2)*(1+Supuestos!$C$39)^(BG6-1)</f>
        <v>3808586.24999999</v>
      </c>
      <c r="BH42" s="43" t="n">
        <f aca="false">BH13*INDEX(Supuestos!$C$17:$E$17,1,$B$2)*(1+Supuestos!$C$39)^(BH6-1)</f>
        <v>3849103.125</v>
      </c>
      <c r="BI42" s="43" t="n">
        <f aca="false">BI13*INDEX(Supuestos!$C$17:$E$17,1,$B$2)*(1+Supuestos!$C$39)^(BI6-1)</f>
        <v>3889620.00000001</v>
      </c>
      <c r="BJ42" s="43" t="n">
        <f aca="false">BJ13*INDEX(Supuestos!$C$17:$E$17,1,$B$2)*(1+Supuestos!$C$39)^(BJ6-1)</f>
        <v>3930136.87499999</v>
      </c>
    </row>
    <row r="43" customFormat="false" ht="15" hidden="false" customHeight="true" outlineLevel="0" collapsed="false">
      <c r="A43" s="10" t="s">
        <v>133</v>
      </c>
      <c r="B43" s="7" t="s">
        <v>146</v>
      </c>
      <c r="C43" s="43" t="n">
        <f aca="false">IF(C5&gt;=Supuestos!$C$65,Supuestos!$C$64*(1+Supuestos!$C$39)^(C6-1),0)</f>
        <v>0</v>
      </c>
      <c r="D43" s="43" t="n">
        <f aca="false">IF(D5&gt;=Supuestos!$C$65,Supuestos!$C$64*(1+Supuestos!$C$39)^(D6-1),0)</f>
        <v>0</v>
      </c>
      <c r="E43" s="43" t="n">
        <f aca="false">IF(E5&gt;=Supuestos!$C$65,Supuestos!$C$64*(1+Supuestos!$C$39)^(E6-1),0)</f>
        <v>0</v>
      </c>
      <c r="F43" s="43" t="n">
        <f aca="false">IF(F5&gt;=Supuestos!$C$65,Supuestos!$C$64*(1+Supuestos!$C$39)^(F6-1),0)</f>
        <v>0</v>
      </c>
      <c r="G43" s="43" t="n">
        <f aca="false">IF(G5&gt;=Supuestos!$C$65,Supuestos!$C$64*(1+Supuestos!$C$39)^(G6-1),0)</f>
        <v>0</v>
      </c>
      <c r="H43" s="43" t="n">
        <f aca="false">IF(H5&gt;=Supuestos!$C$65,Supuestos!$C$64*(1+Supuestos!$C$39)^(H6-1),0)</f>
        <v>0</v>
      </c>
      <c r="I43" s="43" t="n">
        <f aca="false">IF(I5&gt;=Supuestos!$C$65,Supuestos!$C$64*(1+Supuestos!$C$39)^(I6-1),0)</f>
        <v>0</v>
      </c>
      <c r="J43" s="43" t="n">
        <f aca="false">IF(J5&gt;=Supuestos!$C$65,Supuestos!$C$64*(1+Supuestos!$C$39)^(J6-1),0)</f>
        <v>0</v>
      </c>
      <c r="K43" s="43" t="n">
        <f aca="false">IF(K5&gt;=Supuestos!$C$65,Supuestos!$C$64*(1+Supuestos!$C$39)^(K6-1),0)</f>
        <v>0</v>
      </c>
      <c r="L43" s="43" t="n">
        <f aca="false">IF(L5&gt;=Supuestos!$C$65,Supuestos!$C$64*(1+Supuestos!$C$39)^(L6-1),0)</f>
        <v>0</v>
      </c>
      <c r="M43" s="43" t="n">
        <f aca="false">IF(M5&gt;=Supuestos!$C$65,Supuestos!$C$64*(1+Supuestos!$C$39)^(M6-1),0)</f>
        <v>0</v>
      </c>
      <c r="N43" s="43" t="n">
        <f aca="false">IF(N5&gt;=Supuestos!$C$65,Supuestos!$C$64*(1+Supuestos!$C$39)^(N6-1),0)</f>
        <v>0</v>
      </c>
      <c r="O43" s="43" t="n">
        <f aca="false">IF(O5&gt;=Supuestos!$C$65,Supuestos!$C$64*(1+Supuestos!$C$39)^(O6-1),0)</f>
        <v>0</v>
      </c>
      <c r="P43" s="43" t="n">
        <f aca="false">IF(P5&gt;=Supuestos!$C$65,Supuestos!$C$64*(1+Supuestos!$C$39)^(P6-1),0)</f>
        <v>0</v>
      </c>
      <c r="Q43" s="43" t="n">
        <f aca="false">IF(Q5&gt;=Supuestos!$C$65,Supuestos!$C$64*(1+Supuestos!$C$39)^(Q6-1),0)</f>
        <v>0</v>
      </c>
      <c r="R43" s="43" t="n">
        <f aca="false">IF(R5&gt;=Supuestos!$C$65,Supuestos!$C$64*(1+Supuestos!$C$39)^(R6-1),0)</f>
        <v>0</v>
      </c>
      <c r="S43" s="43" t="n">
        <f aca="false">IF(S5&gt;=Supuestos!$C$65,Supuestos!$C$64*(1+Supuestos!$C$39)^(S6-1),0)</f>
        <v>0</v>
      </c>
      <c r="T43" s="43" t="n">
        <f aca="false">IF(T5&gt;=Supuestos!$C$65,Supuestos!$C$64*(1+Supuestos!$C$39)^(T6-1),0)</f>
        <v>0</v>
      </c>
      <c r="U43" s="43" t="n">
        <f aca="false">IF(U5&gt;=Supuestos!$C$65,Supuestos!$C$64*(1+Supuestos!$C$39)^(U6-1),0)</f>
        <v>0</v>
      </c>
      <c r="V43" s="43" t="n">
        <f aca="false">IF(V5&gt;=Supuestos!$C$65,Supuestos!$C$64*(1+Supuestos!$C$39)^(V6-1),0)</f>
        <v>0</v>
      </c>
      <c r="W43" s="43" t="n">
        <f aca="false">IF(W5&gt;=Supuestos!$C$65,Supuestos!$C$64*(1+Supuestos!$C$39)^(W6-1),0)</f>
        <v>0</v>
      </c>
      <c r="X43" s="43" t="n">
        <f aca="false">IF(X5&gt;=Supuestos!$C$65,Supuestos!$C$64*(1+Supuestos!$C$39)^(X6-1),0)</f>
        <v>0</v>
      </c>
      <c r="Y43" s="43" t="n">
        <f aca="false">IF(Y5&gt;=Supuestos!$C$65,Supuestos!$C$64*(1+Supuestos!$C$39)^(Y6-1),0)</f>
        <v>0</v>
      </c>
      <c r="Z43" s="43" t="n">
        <f aca="false">IF(Z5&gt;=Supuestos!$C$65,Supuestos!$C$64*(1+Supuestos!$C$39)^(Z6-1),0)</f>
        <v>0</v>
      </c>
      <c r="AA43" s="43" t="n">
        <f aca="false">IF(AA5&gt;=Supuestos!$C$65,Supuestos!$C$64*(1+Supuestos!$C$39)^(AA6-1),0)</f>
        <v>551250</v>
      </c>
      <c r="AB43" s="43" t="n">
        <f aca="false">IF(AB5&gt;=Supuestos!$C$65,Supuestos!$C$64*(1+Supuestos!$C$39)^(AB6-1),0)</f>
        <v>551250</v>
      </c>
      <c r="AC43" s="43" t="n">
        <f aca="false">IF(AC5&gt;=Supuestos!$C$65,Supuestos!$C$64*(1+Supuestos!$C$39)^(AC6-1),0)</f>
        <v>551250</v>
      </c>
      <c r="AD43" s="43" t="n">
        <f aca="false">IF(AD5&gt;=Supuestos!$C$65,Supuestos!$C$64*(1+Supuestos!$C$39)^(AD6-1),0)</f>
        <v>551250</v>
      </c>
      <c r="AE43" s="43" t="n">
        <f aca="false">IF(AE5&gt;=Supuestos!$C$65,Supuestos!$C$64*(1+Supuestos!$C$39)^(AE6-1),0)</f>
        <v>551250</v>
      </c>
      <c r="AF43" s="43" t="n">
        <f aca="false">IF(AF5&gt;=Supuestos!$C$65,Supuestos!$C$64*(1+Supuestos!$C$39)^(AF6-1),0)</f>
        <v>551250</v>
      </c>
      <c r="AG43" s="43" t="n">
        <f aca="false">IF(AG5&gt;=Supuestos!$C$65,Supuestos!$C$64*(1+Supuestos!$C$39)^(AG6-1),0)</f>
        <v>551250</v>
      </c>
      <c r="AH43" s="43" t="n">
        <f aca="false">IF(AH5&gt;=Supuestos!$C$65,Supuestos!$C$64*(1+Supuestos!$C$39)^(AH6-1),0)</f>
        <v>551250</v>
      </c>
      <c r="AI43" s="43" t="n">
        <f aca="false">IF(AI5&gt;=Supuestos!$C$65,Supuestos!$C$64*(1+Supuestos!$C$39)^(AI6-1),0)</f>
        <v>551250</v>
      </c>
      <c r="AJ43" s="43" t="n">
        <f aca="false">IF(AJ5&gt;=Supuestos!$C$65,Supuestos!$C$64*(1+Supuestos!$C$39)^(AJ6-1),0)</f>
        <v>551250</v>
      </c>
      <c r="AK43" s="43" t="n">
        <f aca="false">IF(AK5&gt;=Supuestos!$C$65,Supuestos!$C$64*(1+Supuestos!$C$39)^(AK6-1),0)</f>
        <v>551250</v>
      </c>
      <c r="AL43" s="43" t="n">
        <f aca="false">IF(AL5&gt;=Supuestos!$C$65,Supuestos!$C$64*(1+Supuestos!$C$39)^(AL6-1),0)</f>
        <v>551250</v>
      </c>
      <c r="AM43" s="43" t="n">
        <f aca="false">IF(AM5&gt;=Supuestos!$C$65,Supuestos!$C$64*(1+Supuestos!$C$39)^(AM6-1),0)</f>
        <v>578812.5</v>
      </c>
      <c r="AN43" s="43" t="n">
        <f aca="false">IF(AN5&gt;=Supuestos!$C$65,Supuestos!$C$64*(1+Supuestos!$C$39)^(AN6-1),0)</f>
        <v>578812.5</v>
      </c>
      <c r="AO43" s="43" t="n">
        <f aca="false">IF(AO5&gt;=Supuestos!$C$65,Supuestos!$C$64*(1+Supuestos!$C$39)^(AO6-1),0)</f>
        <v>578812.5</v>
      </c>
      <c r="AP43" s="43" t="n">
        <f aca="false">IF(AP5&gt;=Supuestos!$C$65,Supuestos!$C$64*(1+Supuestos!$C$39)^(AP6-1),0)</f>
        <v>578812.5</v>
      </c>
      <c r="AQ43" s="43" t="n">
        <f aca="false">IF(AQ5&gt;=Supuestos!$C$65,Supuestos!$C$64*(1+Supuestos!$C$39)^(AQ6-1),0)</f>
        <v>578812.5</v>
      </c>
      <c r="AR43" s="43" t="n">
        <f aca="false">IF(AR5&gt;=Supuestos!$C$65,Supuestos!$C$64*(1+Supuestos!$C$39)^(AR6-1),0)</f>
        <v>578812.5</v>
      </c>
      <c r="AS43" s="43" t="n">
        <f aca="false">IF(AS5&gt;=Supuestos!$C$65,Supuestos!$C$64*(1+Supuestos!$C$39)^(AS6-1),0)</f>
        <v>578812.5</v>
      </c>
      <c r="AT43" s="43" t="n">
        <f aca="false">IF(AT5&gt;=Supuestos!$C$65,Supuestos!$C$64*(1+Supuestos!$C$39)^(AT6-1),0)</f>
        <v>578812.5</v>
      </c>
      <c r="AU43" s="43" t="n">
        <f aca="false">IF(AU5&gt;=Supuestos!$C$65,Supuestos!$C$64*(1+Supuestos!$C$39)^(AU6-1),0)</f>
        <v>578812.5</v>
      </c>
      <c r="AV43" s="43" t="n">
        <f aca="false">IF(AV5&gt;=Supuestos!$C$65,Supuestos!$C$64*(1+Supuestos!$C$39)^(AV6-1),0)</f>
        <v>578812.5</v>
      </c>
      <c r="AW43" s="43" t="n">
        <f aca="false">IF(AW5&gt;=Supuestos!$C$65,Supuestos!$C$64*(1+Supuestos!$C$39)^(AW6-1),0)</f>
        <v>578812.5</v>
      </c>
      <c r="AX43" s="43" t="n">
        <f aca="false">IF(AX5&gt;=Supuestos!$C$65,Supuestos!$C$64*(1+Supuestos!$C$39)^(AX6-1),0)</f>
        <v>578812.5</v>
      </c>
      <c r="AY43" s="43" t="n">
        <f aca="false">IF(AY5&gt;=Supuestos!$C$65,Supuestos!$C$64*(1+Supuestos!$C$39)^(AY6-1),0)</f>
        <v>607753.125</v>
      </c>
      <c r="AZ43" s="43" t="n">
        <f aca="false">IF(AZ5&gt;=Supuestos!$C$65,Supuestos!$C$64*(1+Supuestos!$C$39)^(AZ6-1),0)</f>
        <v>607753.125</v>
      </c>
      <c r="BA43" s="43" t="n">
        <f aca="false">IF(BA5&gt;=Supuestos!$C$65,Supuestos!$C$64*(1+Supuestos!$C$39)^(BA6-1),0)</f>
        <v>607753.125</v>
      </c>
      <c r="BB43" s="43" t="n">
        <f aca="false">IF(BB5&gt;=Supuestos!$C$65,Supuestos!$C$64*(1+Supuestos!$C$39)^(BB6-1),0)</f>
        <v>607753.125</v>
      </c>
      <c r="BC43" s="43" t="n">
        <f aca="false">IF(BC5&gt;=Supuestos!$C$65,Supuestos!$C$64*(1+Supuestos!$C$39)^(BC6-1),0)</f>
        <v>607753.125</v>
      </c>
      <c r="BD43" s="43" t="n">
        <f aca="false">IF(BD5&gt;=Supuestos!$C$65,Supuestos!$C$64*(1+Supuestos!$C$39)^(BD6-1),0)</f>
        <v>607753.125</v>
      </c>
      <c r="BE43" s="43" t="n">
        <f aca="false">IF(BE5&gt;=Supuestos!$C$65,Supuestos!$C$64*(1+Supuestos!$C$39)^(BE6-1),0)</f>
        <v>607753.125</v>
      </c>
      <c r="BF43" s="43" t="n">
        <f aca="false">IF(BF5&gt;=Supuestos!$C$65,Supuestos!$C$64*(1+Supuestos!$C$39)^(BF6-1),0)</f>
        <v>607753.125</v>
      </c>
      <c r="BG43" s="43" t="n">
        <f aca="false">IF(BG5&gt;=Supuestos!$C$65,Supuestos!$C$64*(1+Supuestos!$C$39)^(BG6-1),0)</f>
        <v>607753.125</v>
      </c>
      <c r="BH43" s="43" t="n">
        <f aca="false">IF(BH5&gt;=Supuestos!$C$65,Supuestos!$C$64*(1+Supuestos!$C$39)^(BH6-1),0)</f>
        <v>607753.125</v>
      </c>
      <c r="BI43" s="43" t="n">
        <f aca="false">IF(BI5&gt;=Supuestos!$C$65,Supuestos!$C$64*(1+Supuestos!$C$39)^(BI6-1),0)</f>
        <v>607753.125</v>
      </c>
      <c r="BJ43" s="43" t="n">
        <f aca="false">IF(BJ5&gt;=Supuestos!$C$65,Supuestos!$C$64*(1+Supuestos!$C$39)^(BJ6-1),0)</f>
        <v>607753.125</v>
      </c>
    </row>
    <row r="44" customFormat="false" ht="15" hidden="false" customHeight="true" outlineLevel="0" collapsed="false">
      <c r="A44" s="10" t="s">
        <v>266</v>
      </c>
      <c r="B44" s="7" t="s">
        <v>146</v>
      </c>
      <c r="C44" s="43" t="n">
        <f aca="false">IF(C6=1,Supuestos!$C$66,Supuestos!$C$67*(1+Supuestos!$C$39)^(C6-2))</f>
        <v>200000</v>
      </c>
      <c r="D44" s="43" t="n">
        <f aca="false">IF(D6=1,Supuestos!$C$66,Supuestos!$C$67*(1+Supuestos!$C$39)^(D6-2))</f>
        <v>200000</v>
      </c>
      <c r="E44" s="43" t="n">
        <f aca="false">IF(E6=1,Supuestos!$C$66,Supuestos!$C$67*(1+Supuestos!$C$39)^(E6-2))</f>
        <v>200000</v>
      </c>
      <c r="F44" s="43" t="n">
        <f aca="false">IF(F6=1,Supuestos!$C$66,Supuestos!$C$67*(1+Supuestos!$C$39)^(F6-2))</f>
        <v>200000</v>
      </c>
      <c r="G44" s="43" t="n">
        <f aca="false">IF(G6=1,Supuestos!$C$66,Supuestos!$C$67*(1+Supuestos!$C$39)^(G6-2))</f>
        <v>200000</v>
      </c>
      <c r="H44" s="43" t="n">
        <f aca="false">IF(H6=1,Supuestos!$C$66,Supuestos!$C$67*(1+Supuestos!$C$39)^(H6-2))</f>
        <v>200000</v>
      </c>
      <c r="I44" s="43" t="n">
        <f aca="false">IF(I6=1,Supuestos!$C$66,Supuestos!$C$67*(1+Supuestos!$C$39)^(I6-2))</f>
        <v>200000</v>
      </c>
      <c r="J44" s="43" t="n">
        <f aca="false">IF(J6=1,Supuestos!$C$66,Supuestos!$C$67*(1+Supuestos!$C$39)^(J6-2))</f>
        <v>200000</v>
      </c>
      <c r="K44" s="43" t="n">
        <f aca="false">IF(K6=1,Supuestos!$C$66,Supuestos!$C$67*(1+Supuestos!$C$39)^(K6-2))</f>
        <v>200000</v>
      </c>
      <c r="L44" s="43" t="n">
        <f aca="false">IF(L6=1,Supuestos!$C$66,Supuestos!$C$67*(1+Supuestos!$C$39)^(L6-2))</f>
        <v>200000</v>
      </c>
      <c r="M44" s="43" t="n">
        <f aca="false">IF(M6=1,Supuestos!$C$66,Supuestos!$C$67*(1+Supuestos!$C$39)^(M6-2))</f>
        <v>200000</v>
      </c>
      <c r="N44" s="43" t="n">
        <f aca="false">IF(N6=1,Supuestos!$C$66,Supuestos!$C$67*(1+Supuestos!$C$39)^(N6-2))</f>
        <v>200000</v>
      </c>
      <c r="O44" s="43" t="n">
        <f aca="false">IF(O6=1,Supuestos!$C$66,Supuestos!$C$67*(1+Supuestos!$C$39)^(O6-2))</f>
        <v>400000</v>
      </c>
      <c r="P44" s="43" t="n">
        <f aca="false">IF(P6=1,Supuestos!$C$66,Supuestos!$C$67*(1+Supuestos!$C$39)^(P6-2))</f>
        <v>400000</v>
      </c>
      <c r="Q44" s="43" t="n">
        <f aca="false">IF(Q6=1,Supuestos!$C$66,Supuestos!$C$67*(1+Supuestos!$C$39)^(Q6-2))</f>
        <v>400000</v>
      </c>
      <c r="R44" s="43" t="n">
        <f aca="false">IF(R6=1,Supuestos!$C$66,Supuestos!$C$67*(1+Supuestos!$C$39)^(R6-2))</f>
        <v>400000</v>
      </c>
      <c r="S44" s="43" t="n">
        <f aca="false">IF(S6=1,Supuestos!$C$66,Supuestos!$C$67*(1+Supuestos!$C$39)^(S6-2))</f>
        <v>400000</v>
      </c>
      <c r="T44" s="43" t="n">
        <f aca="false">IF(T6=1,Supuestos!$C$66,Supuestos!$C$67*(1+Supuestos!$C$39)^(T6-2))</f>
        <v>400000</v>
      </c>
      <c r="U44" s="43" t="n">
        <f aca="false">IF(U6=1,Supuestos!$C$66,Supuestos!$C$67*(1+Supuestos!$C$39)^(U6-2))</f>
        <v>400000</v>
      </c>
      <c r="V44" s="43" t="n">
        <f aca="false">IF(V6=1,Supuestos!$C$66,Supuestos!$C$67*(1+Supuestos!$C$39)^(V6-2))</f>
        <v>400000</v>
      </c>
      <c r="W44" s="43" t="n">
        <f aca="false">IF(W6=1,Supuestos!$C$66,Supuestos!$C$67*(1+Supuestos!$C$39)^(W6-2))</f>
        <v>400000</v>
      </c>
      <c r="X44" s="43" t="n">
        <f aca="false">IF(X6=1,Supuestos!$C$66,Supuestos!$C$67*(1+Supuestos!$C$39)^(X6-2))</f>
        <v>400000</v>
      </c>
      <c r="Y44" s="43" t="n">
        <f aca="false">IF(Y6=1,Supuestos!$C$66,Supuestos!$C$67*(1+Supuestos!$C$39)^(Y6-2))</f>
        <v>400000</v>
      </c>
      <c r="Z44" s="43" t="n">
        <f aca="false">IF(Z6=1,Supuestos!$C$66,Supuestos!$C$67*(1+Supuestos!$C$39)^(Z6-2))</f>
        <v>400000</v>
      </c>
      <c r="AA44" s="43" t="n">
        <f aca="false">IF(AA6=1,Supuestos!$C$66,Supuestos!$C$67*(1+Supuestos!$C$39)^(AA6-2))</f>
        <v>420000</v>
      </c>
      <c r="AB44" s="43" t="n">
        <f aca="false">IF(AB6=1,Supuestos!$C$66,Supuestos!$C$67*(1+Supuestos!$C$39)^(AB6-2))</f>
        <v>420000</v>
      </c>
      <c r="AC44" s="43" t="n">
        <f aca="false">IF(AC6=1,Supuestos!$C$66,Supuestos!$C$67*(1+Supuestos!$C$39)^(AC6-2))</f>
        <v>420000</v>
      </c>
      <c r="AD44" s="43" t="n">
        <f aca="false">IF(AD6=1,Supuestos!$C$66,Supuestos!$C$67*(1+Supuestos!$C$39)^(AD6-2))</f>
        <v>420000</v>
      </c>
      <c r="AE44" s="43" t="n">
        <f aca="false">IF(AE6=1,Supuestos!$C$66,Supuestos!$C$67*(1+Supuestos!$C$39)^(AE6-2))</f>
        <v>420000</v>
      </c>
      <c r="AF44" s="43" t="n">
        <f aca="false">IF(AF6=1,Supuestos!$C$66,Supuestos!$C$67*(1+Supuestos!$C$39)^(AF6-2))</f>
        <v>420000</v>
      </c>
      <c r="AG44" s="43" t="n">
        <f aca="false">IF(AG6=1,Supuestos!$C$66,Supuestos!$C$67*(1+Supuestos!$C$39)^(AG6-2))</f>
        <v>420000</v>
      </c>
      <c r="AH44" s="43" t="n">
        <f aca="false">IF(AH6=1,Supuestos!$C$66,Supuestos!$C$67*(1+Supuestos!$C$39)^(AH6-2))</f>
        <v>420000</v>
      </c>
      <c r="AI44" s="43" t="n">
        <f aca="false">IF(AI6=1,Supuestos!$C$66,Supuestos!$C$67*(1+Supuestos!$C$39)^(AI6-2))</f>
        <v>420000</v>
      </c>
      <c r="AJ44" s="43" t="n">
        <f aca="false">IF(AJ6=1,Supuestos!$C$66,Supuestos!$C$67*(1+Supuestos!$C$39)^(AJ6-2))</f>
        <v>420000</v>
      </c>
      <c r="AK44" s="43" t="n">
        <f aca="false">IF(AK6=1,Supuestos!$C$66,Supuestos!$C$67*(1+Supuestos!$C$39)^(AK6-2))</f>
        <v>420000</v>
      </c>
      <c r="AL44" s="43" t="n">
        <f aca="false">IF(AL6=1,Supuestos!$C$66,Supuestos!$C$67*(1+Supuestos!$C$39)^(AL6-2))</f>
        <v>420000</v>
      </c>
      <c r="AM44" s="43" t="n">
        <f aca="false">IF(AM6=1,Supuestos!$C$66,Supuestos!$C$67*(1+Supuestos!$C$39)^(AM6-2))</f>
        <v>441000</v>
      </c>
      <c r="AN44" s="43" t="n">
        <f aca="false">IF(AN6=1,Supuestos!$C$66,Supuestos!$C$67*(1+Supuestos!$C$39)^(AN6-2))</f>
        <v>441000</v>
      </c>
      <c r="AO44" s="43" t="n">
        <f aca="false">IF(AO6=1,Supuestos!$C$66,Supuestos!$C$67*(1+Supuestos!$C$39)^(AO6-2))</f>
        <v>441000</v>
      </c>
      <c r="AP44" s="43" t="n">
        <f aca="false">IF(AP6=1,Supuestos!$C$66,Supuestos!$C$67*(1+Supuestos!$C$39)^(AP6-2))</f>
        <v>441000</v>
      </c>
      <c r="AQ44" s="43" t="n">
        <f aca="false">IF(AQ6=1,Supuestos!$C$66,Supuestos!$C$67*(1+Supuestos!$C$39)^(AQ6-2))</f>
        <v>441000</v>
      </c>
      <c r="AR44" s="43" t="n">
        <f aca="false">IF(AR6=1,Supuestos!$C$66,Supuestos!$C$67*(1+Supuestos!$C$39)^(AR6-2))</f>
        <v>441000</v>
      </c>
      <c r="AS44" s="43" t="n">
        <f aca="false">IF(AS6=1,Supuestos!$C$66,Supuestos!$C$67*(1+Supuestos!$C$39)^(AS6-2))</f>
        <v>441000</v>
      </c>
      <c r="AT44" s="43" t="n">
        <f aca="false">IF(AT6=1,Supuestos!$C$66,Supuestos!$C$67*(1+Supuestos!$C$39)^(AT6-2))</f>
        <v>441000</v>
      </c>
      <c r="AU44" s="43" t="n">
        <f aca="false">IF(AU6=1,Supuestos!$C$66,Supuestos!$C$67*(1+Supuestos!$C$39)^(AU6-2))</f>
        <v>441000</v>
      </c>
      <c r="AV44" s="43" t="n">
        <f aca="false">IF(AV6=1,Supuestos!$C$66,Supuestos!$C$67*(1+Supuestos!$C$39)^(AV6-2))</f>
        <v>441000</v>
      </c>
      <c r="AW44" s="43" t="n">
        <f aca="false">IF(AW6=1,Supuestos!$C$66,Supuestos!$C$67*(1+Supuestos!$C$39)^(AW6-2))</f>
        <v>441000</v>
      </c>
      <c r="AX44" s="43" t="n">
        <f aca="false">IF(AX6=1,Supuestos!$C$66,Supuestos!$C$67*(1+Supuestos!$C$39)^(AX6-2))</f>
        <v>441000</v>
      </c>
      <c r="AY44" s="43" t="n">
        <f aca="false">IF(AY6=1,Supuestos!$C$66,Supuestos!$C$67*(1+Supuestos!$C$39)^(AY6-2))</f>
        <v>463050</v>
      </c>
      <c r="AZ44" s="43" t="n">
        <f aca="false">IF(AZ6=1,Supuestos!$C$66,Supuestos!$C$67*(1+Supuestos!$C$39)^(AZ6-2))</f>
        <v>463050</v>
      </c>
      <c r="BA44" s="43" t="n">
        <f aca="false">IF(BA6=1,Supuestos!$C$66,Supuestos!$C$67*(1+Supuestos!$C$39)^(BA6-2))</f>
        <v>463050</v>
      </c>
      <c r="BB44" s="43" t="n">
        <f aca="false">IF(BB6=1,Supuestos!$C$66,Supuestos!$C$67*(1+Supuestos!$C$39)^(BB6-2))</f>
        <v>463050</v>
      </c>
      <c r="BC44" s="43" t="n">
        <f aca="false">IF(BC6=1,Supuestos!$C$66,Supuestos!$C$67*(1+Supuestos!$C$39)^(BC6-2))</f>
        <v>463050</v>
      </c>
      <c r="BD44" s="43" t="n">
        <f aca="false">IF(BD6=1,Supuestos!$C$66,Supuestos!$C$67*(1+Supuestos!$C$39)^(BD6-2))</f>
        <v>463050</v>
      </c>
      <c r="BE44" s="43" t="n">
        <f aca="false">IF(BE6=1,Supuestos!$C$66,Supuestos!$C$67*(1+Supuestos!$C$39)^(BE6-2))</f>
        <v>463050</v>
      </c>
      <c r="BF44" s="43" t="n">
        <f aca="false">IF(BF6=1,Supuestos!$C$66,Supuestos!$C$67*(1+Supuestos!$C$39)^(BF6-2))</f>
        <v>463050</v>
      </c>
      <c r="BG44" s="43" t="n">
        <f aca="false">IF(BG6=1,Supuestos!$C$66,Supuestos!$C$67*(1+Supuestos!$C$39)^(BG6-2))</f>
        <v>463050</v>
      </c>
      <c r="BH44" s="43" t="n">
        <f aca="false">IF(BH6=1,Supuestos!$C$66,Supuestos!$C$67*(1+Supuestos!$C$39)^(BH6-2))</f>
        <v>463050</v>
      </c>
      <c r="BI44" s="43" t="n">
        <f aca="false">IF(BI6=1,Supuestos!$C$66,Supuestos!$C$67*(1+Supuestos!$C$39)^(BI6-2))</f>
        <v>463050</v>
      </c>
      <c r="BJ44" s="43" t="n">
        <f aca="false">IF(BJ6=1,Supuestos!$C$66,Supuestos!$C$67*(1+Supuestos!$C$39)^(BJ6-2))</f>
        <v>463050</v>
      </c>
    </row>
    <row r="45" customFormat="false" ht="15" hidden="false" customHeight="true" outlineLevel="0" collapsed="false">
      <c r="A45" s="10" t="s">
        <v>267</v>
      </c>
      <c r="B45" s="7" t="s">
        <v>146</v>
      </c>
      <c r="C45" s="43" t="n">
        <f aca="false">(Supuestos!$C$68+Supuestos!$C$69)*(1+Supuestos!$C$39)^(C6-1)</f>
        <v>110000</v>
      </c>
      <c r="D45" s="43" t="n">
        <f aca="false">(Supuestos!$C$68+Supuestos!$C$69)*(1+Supuestos!$C$39)^(D6-1)</f>
        <v>110000</v>
      </c>
      <c r="E45" s="43" t="n">
        <f aca="false">(Supuestos!$C$68+Supuestos!$C$69)*(1+Supuestos!$C$39)^(E6-1)</f>
        <v>110000</v>
      </c>
      <c r="F45" s="43" t="n">
        <f aca="false">(Supuestos!$C$68+Supuestos!$C$69)*(1+Supuestos!$C$39)^(F6-1)</f>
        <v>110000</v>
      </c>
      <c r="G45" s="43" t="n">
        <f aca="false">(Supuestos!$C$68+Supuestos!$C$69)*(1+Supuestos!$C$39)^(G6-1)</f>
        <v>110000</v>
      </c>
      <c r="H45" s="43" t="n">
        <f aca="false">(Supuestos!$C$68+Supuestos!$C$69)*(1+Supuestos!$C$39)^(H6-1)</f>
        <v>110000</v>
      </c>
      <c r="I45" s="43" t="n">
        <f aca="false">(Supuestos!$C$68+Supuestos!$C$69)*(1+Supuestos!$C$39)^(I6-1)</f>
        <v>110000</v>
      </c>
      <c r="J45" s="43" t="n">
        <f aca="false">(Supuestos!$C$68+Supuestos!$C$69)*(1+Supuestos!$C$39)^(J6-1)</f>
        <v>110000</v>
      </c>
      <c r="K45" s="43" t="n">
        <f aca="false">(Supuestos!$C$68+Supuestos!$C$69)*(1+Supuestos!$C$39)^(K6-1)</f>
        <v>110000</v>
      </c>
      <c r="L45" s="43" t="n">
        <f aca="false">(Supuestos!$C$68+Supuestos!$C$69)*(1+Supuestos!$C$39)^(L6-1)</f>
        <v>110000</v>
      </c>
      <c r="M45" s="43" t="n">
        <f aca="false">(Supuestos!$C$68+Supuestos!$C$69)*(1+Supuestos!$C$39)^(M6-1)</f>
        <v>110000</v>
      </c>
      <c r="N45" s="43" t="n">
        <f aca="false">(Supuestos!$C$68+Supuestos!$C$69)*(1+Supuestos!$C$39)^(N6-1)</f>
        <v>110000</v>
      </c>
      <c r="O45" s="43" t="n">
        <f aca="false">(Supuestos!$C$68+Supuestos!$C$69)*(1+Supuestos!$C$39)^(O6-1)</f>
        <v>115500</v>
      </c>
      <c r="P45" s="43" t="n">
        <f aca="false">(Supuestos!$C$68+Supuestos!$C$69)*(1+Supuestos!$C$39)^(P6-1)</f>
        <v>115500</v>
      </c>
      <c r="Q45" s="43" t="n">
        <f aca="false">(Supuestos!$C$68+Supuestos!$C$69)*(1+Supuestos!$C$39)^(Q6-1)</f>
        <v>115500</v>
      </c>
      <c r="R45" s="43" t="n">
        <f aca="false">(Supuestos!$C$68+Supuestos!$C$69)*(1+Supuestos!$C$39)^(R6-1)</f>
        <v>115500</v>
      </c>
      <c r="S45" s="43" t="n">
        <f aca="false">(Supuestos!$C$68+Supuestos!$C$69)*(1+Supuestos!$C$39)^(S6-1)</f>
        <v>115500</v>
      </c>
      <c r="T45" s="43" t="n">
        <f aca="false">(Supuestos!$C$68+Supuestos!$C$69)*(1+Supuestos!$C$39)^(T6-1)</f>
        <v>115500</v>
      </c>
      <c r="U45" s="43" t="n">
        <f aca="false">(Supuestos!$C$68+Supuestos!$C$69)*(1+Supuestos!$C$39)^(U6-1)</f>
        <v>115500</v>
      </c>
      <c r="V45" s="43" t="n">
        <f aca="false">(Supuestos!$C$68+Supuestos!$C$69)*(1+Supuestos!$C$39)^(V6-1)</f>
        <v>115500</v>
      </c>
      <c r="W45" s="43" t="n">
        <f aca="false">(Supuestos!$C$68+Supuestos!$C$69)*(1+Supuestos!$C$39)^(W6-1)</f>
        <v>115500</v>
      </c>
      <c r="X45" s="43" t="n">
        <f aca="false">(Supuestos!$C$68+Supuestos!$C$69)*(1+Supuestos!$C$39)^(X6-1)</f>
        <v>115500</v>
      </c>
      <c r="Y45" s="43" t="n">
        <f aca="false">(Supuestos!$C$68+Supuestos!$C$69)*(1+Supuestos!$C$39)^(Y6-1)</f>
        <v>115500</v>
      </c>
      <c r="Z45" s="43" t="n">
        <f aca="false">(Supuestos!$C$68+Supuestos!$C$69)*(1+Supuestos!$C$39)^(Z6-1)</f>
        <v>115500</v>
      </c>
      <c r="AA45" s="43" t="n">
        <f aca="false">(Supuestos!$C$68+Supuestos!$C$69)*(1+Supuestos!$C$39)^(AA6-1)</f>
        <v>121275</v>
      </c>
      <c r="AB45" s="43" t="n">
        <f aca="false">(Supuestos!$C$68+Supuestos!$C$69)*(1+Supuestos!$C$39)^(AB6-1)</f>
        <v>121275</v>
      </c>
      <c r="AC45" s="43" t="n">
        <f aca="false">(Supuestos!$C$68+Supuestos!$C$69)*(1+Supuestos!$C$39)^(AC6-1)</f>
        <v>121275</v>
      </c>
      <c r="AD45" s="43" t="n">
        <f aca="false">(Supuestos!$C$68+Supuestos!$C$69)*(1+Supuestos!$C$39)^(AD6-1)</f>
        <v>121275</v>
      </c>
      <c r="AE45" s="43" t="n">
        <f aca="false">(Supuestos!$C$68+Supuestos!$C$69)*(1+Supuestos!$C$39)^(AE6-1)</f>
        <v>121275</v>
      </c>
      <c r="AF45" s="43" t="n">
        <f aca="false">(Supuestos!$C$68+Supuestos!$C$69)*(1+Supuestos!$C$39)^(AF6-1)</f>
        <v>121275</v>
      </c>
      <c r="AG45" s="43" t="n">
        <f aca="false">(Supuestos!$C$68+Supuestos!$C$69)*(1+Supuestos!$C$39)^(AG6-1)</f>
        <v>121275</v>
      </c>
      <c r="AH45" s="43" t="n">
        <f aca="false">(Supuestos!$C$68+Supuestos!$C$69)*(1+Supuestos!$C$39)^(AH6-1)</f>
        <v>121275</v>
      </c>
      <c r="AI45" s="43" t="n">
        <f aca="false">(Supuestos!$C$68+Supuestos!$C$69)*(1+Supuestos!$C$39)^(AI6-1)</f>
        <v>121275</v>
      </c>
      <c r="AJ45" s="43" t="n">
        <f aca="false">(Supuestos!$C$68+Supuestos!$C$69)*(1+Supuestos!$C$39)^(AJ6-1)</f>
        <v>121275</v>
      </c>
      <c r="AK45" s="43" t="n">
        <f aca="false">(Supuestos!$C$68+Supuestos!$C$69)*(1+Supuestos!$C$39)^(AK6-1)</f>
        <v>121275</v>
      </c>
      <c r="AL45" s="43" t="n">
        <f aca="false">(Supuestos!$C$68+Supuestos!$C$69)*(1+Supuestos!$C$39)^(AL6-1)</f>
        <v>121275</v>
      </c>
      <c r="AM45" s="43" t="n">
        <f aca="false">(Supuestos!$C$68+Supuestos!$C$69)*(1+Supuestos!$C$39)^(AM6-1)</f>
        <v>127338.75</v>
      </c>
      <c r="AN45" s="43" t="n">
        <f aca="false">(Supuestos!$C$68+Supuestos!$C$69)*(1+Supuestos!$C$39)^(AN6-1)</f>
        <v>127338.75</v>
      </c>
      <c r="AO45" s="43" t="n">
        <f aca="false">(Supuestos!$C$68+Supuestos!$C$69)*(1+Supuestos!$C$39)^(AO6-1)</f>
        <v>127338.75</v>
      </c>
      <c r="AP45" s="43" t="n">
        <f aca="false">(Supuestos!$C$68+Supuestos!$C$69)*(1+Supuestos!$C$39)^(AP6-1)</f>
        <v>127338.75</v>
      </c>
      <c r="AQ45" s="43" t="n">
        <f aca="false">(Supuestos!$C$68+Supuestos!$C$69)*(1+Supuestos!$C$39)^(AQ6-1)</f>
        <v>127338.75</v>
      </c>
      <c r="AR45" s="43" t="n">
        <f aca="false">(Supuestos!$C$68+Supuestos!$C$69)*(1+Supuestos!$C$39)^(AR6-1)</f>
        <v>127338.75</v>
      </c>
      <c r="AS45" s="43" t="n">
        <f aca="false">(Supuestos!$C$68+Supuestos!$C$69)*(1+Supuestos!$C$39)^(AS6-1)</f>
        <v>127338.75</v>
      </c>
      <c r="AT45" s="43" t="n">
        <f aca="false">(Supuestos!$C$68+Supuestos!$C$69)*(1+Supuestos!$C$39)^(AT6-1)</f>
        <v>127338.75</v>
      </c>
      <c r="AU45" s="43" t="n">
        <f aca="false">(Supuestos!$C$68+Supuestos!$C$69)*(1+Supuestos!$C$39)^(AU6-1)</f>
        <v>127338.75</v>
      </c>
      <c r="AV45" s="43" t="n">
        <f aca="false">(Supuestos!$C$68+Supuestos!$C$69)*(1+Supuestos!$C$39)^(AV6-1)</f>
        <v>127338.75</v>
      </c>
      <c r="AW45" s="43" t="n">
        <f aca="false">(Supuestos!$C$68+Supuestos!$C$69)*(1+Supuestos!$C$39)^(AW6-1)</f>
        <v>127338.75</v>
      </c>
      <c r="AX45" s="43" t="n">
        <f aca="false">(Supuestos!$C$68+Supuestos!$C$69)*(1+Supuestos!$C$39)^(AX6-1)</f>
        <v>127338.75</v>
      </c>
      <c r="AY45" s="43" t="n">
        <f aca="false">(Supuestos!$C$68+Supuestos!$C$69)*(1+Supuestos!$C$39)^(AY6-1)</f>
        <v>133705.6875</v>
      </c>
      <c r="AZ45" s="43" t="n">
        <f aca="false">(Supuestos!$C$68+Supuestos!$C$69)*(1+Supuestos!$C$39)^(AZ6-1)</f>
        <v>133705.6875</v>
      </c>
      <c r="BA45" s="43" t="n">
        <f aca="false">(Supuestos!$C$68+Supuestos!$C$69)*(1+Supuestos!$C$39)^(BA6-1)</f>
        <v>133705.6875</v>
      </c>
      <c r="BB45" s="43" t="n">
        <f aca="false">(Supuestos!$C$68+Supuestos!$C$69)*(1+Supuestos!$C$39)^(BB6-1)</f>
        <v>133705.6875</v>
      </c>
      <c r="BC45" s="43" t="n">
        <f aca="false">(Supuestos!$C$68+Supuestos!$C$69)*(1+Supuestos!$C$39)^(BC6-1)</f>
        <v>133705.6875</v>
      </c>
      <c r="BD45" s="43" t="n">
        <f aca="false">(Supuestos!$C$68+Supuestos!$C$69)*(1+Supuestos!$C$39)^(BD6-1)</f>
        <v>133705.6875</v>
      </c>
      <c r="BE45" s="43" t="n">
        <f aca="false">(Supuestos!$C$68+Supuestos!$C$69)*(1+Supuestos!$C$39)^(BE6-1)</f>
        <v>133705.6875</v>
      </c>
      <c r="BF45" s="43" t="n">
        <f aca="false">(Supuestos!$C$68+Supuestos!$C$69)*(1+Supuestos!$C$39)^(BF6-1)</f>
        <v>133705.6875</v>
      </c>
      <c r="BG45" s="43" t="n">
        <f aca="false">(Supuestos!$C$68+Supuestos!$C$69)*(1+Supuestos!$C$39)^(BG6-1)</f>
        <v>133705.6875</v>
      </c>
      <c r="BH45" s="43" t="n">
        <f aca="false">(Supuestos!$C$68+Supuestos!$C$69)*(1+Supuestos!$C$39)^(BH6-1)</f>
        <v>133705.6875</v>
      </c>
      <c r="BI45" s="43" t="n">
        <f aca="false">(Supuestos!$C$68+Supuestos!$C$69)*(1+Supuestos!$C$39)^(BI6-1)</f>
        <v>133705.6875</v>
      </c>
      <c r="BJ45" s="43" t="n">
        <f aca="false">(Supuestos!$C$68+Supuestos!$C$69)*(1+Supuestos!$C$39)^(BJ6-1)</f>
        <v>133705.6875</v>
      </c>
    </row>
    <row r="46" customFormat="false" ht="15" hidden="false" customHeight="true" outlineLevel="0" collapsed="false">
      <c r="A46" s="16" t="s">
        <v>201</v>
      </c>
      <c r="B46" s="7" t="s">
        <v>146</v>
      </c>
      <c r="C46" s="35" t="n">
        <f aca="false">SUM(C41:C45)+C91</f>
        <v>1105294.98</v>
      </c>
      <c r="D46" s="35" t="n">
        <f aca="false">SUM(D41:D45)+D91</f>
        <v>805789.98</v>
      </c>
      <c r="E46" s="35" t="n">
        <f aca="false">SUM(E41:E45)+E91</f>
        <v>1124044.98</v>
      </c>
      <c r="F46" s="35" t="n">
        <f aca="false">SUM(F41:F45)+F91</f>
        <v>1137289.98</v>
      </c>
      <c r="G46" s="35" t="n">
        <f aca="false">SUM(G41:G45)+G91</f>
        <v>1149049.98</v>
      </c>
      <c r="H46" s="35" t="n">
        <f aca="false">SUM(H41:H45)+H91</f>
        <v>1161544.98</v>
      </c>
      <c r="I46" s="35" t="n">
        <f aca="false">SUM(I41:I45)+I91</f>
        <v>1174789.98</v>
      </c>
      <c r="J46" s="35" t="n">
        <f aca="false">SUM(J41:J45)+J91</f>
        <v>1499299.98</v>
      </c>
      <c r="K46" s="35" t="n">
        <f aca="false">SUM(K41:K45)+K91</f>
        <v>1205299.98</v>
      </c>
      <c r="L46" s="35" t="n">
        <f aca="false">SUM(L41:L45)+L91</f>
        <v>1217794.98</v>
      </c>
      <c r="M46" s="35" t="n">
        <f aca="false">SUM(M41:M45)+M91</f>
        <v>1231039.98</v>
      </c>
      <c r="N46" s="35" t="n">
        <f aca="false">SUM(N41:N45)+N91</f>
        <v>1242799.98</v>
      </c>
      <c r="O46" s="35" t="n">
        <f aca="false">SUM(O41:O45)+O91</f>
        <v>1969733.3435</v>
      </c>
      <c r="P46" s="35" t="n">
        <f aca="false">SUM(P41:P45)+P91</f>
        <v>1991608.3435</v>
      </c>
      <c r="Q46" s="35" t="n">
        <f aca="false">SUM(Q41:Q45)+Q91</f>
        <v>2013483.3435</v>
      </c>
      <c r="R46" s="35" t="n">
        <f aca="false">SUM(R41:R45)+R91</f>
        <v>2035358.3435</v>
      </c>
      <c r="S46" s="35" t="n">
        <f aca="false">SUM(S41:S45)+S91</f>
        <v>2057233.3435</v>
      </c>
      <c r="T46" s="35" t="n">
        <f aca="false">SUM(T41:T45)+T91</f>
        <v>2079108.3435</v>
      </c>
      <c r="U46" s="35" t="n">
        <f aca="false">SUM(U41:U45)+U91</f>
        <v>2100983.3435</v>
      </c>
      <c r="V46" s="35" t="n">
        <f aca="false">SUM(V41:V45)+V91</f>
        <v>2122858.3435</v>
      </c>
      <c r="W46" s="35" t="n">
        <f aca="false">SUM(W41:W45)+W91</f>
        <v>7982864.77935</v>
      </c>
      <c r="X46" s="35" t="n">
        <f aca="false">SUM(X41:X45)+X91</f>
        <v>5379739.77935</v>
      </c>
      <c r="Y46" s="35" t="n">
        <f aca="false">SUM(Y41:Y45)+Y91</f>
        <v>5401614.77935</v>
      </c>
      <c r="Z46" s="35" t="n">
        <f aca="false">SUM(Z41:Z45)+Z91</f>
        <v>5423489.77935</v>
      </c>
      <c r="AA46" s="35" t="n">
        <f aca="false">SUM(AA41:AA45)+AA91</f>
        <v>21579981.93057</v>
      </c>
      <c r="AB46" s="35" t="n">
        <f aca="false">SUM(AB41:AB45)+AB91</f>
        <v>21616731.93057</v>
      </c>
      <c r="AC46" s="35" t="n">
        <f aca="false">SUM(AC41:AC45)+AC91</f>
        <v>21653481.93057</v>
      </c>
      <c r="AD46" s="35" t="n">
        <f aca="false">SUM(AD41:AD45)+AD91</f>
        <v>21690231.93057</v>
      </c>
      <c r="AE46" s="35" t="n">
        <f aca="false">SUM(AE41:AE45)+AE91</f>
        <v>21726981.93057</v>
      </c>
      <c r="AF46" s="35" t="n">
        <f aca="false">SUM(AF41:AF45)+AF91</f>
        <v>21763731.93057</v>
      </c>
      <c r="AG46" s="35" t="n">
        <f aca="false">SUM(AG41:AG45)+AG91</f>
        <v>21800481.93057</v>
      </c>
      <c r="AH46" s="35" t="n">
        <f aca="false">SUM(AH41:AH45)+AH91</f>
        <v>21837231.93057</v>
      </c>
      <c r="AI46" s="35" t="n">
        <f aca="false">SUM(AI41:AI45)+AI91</f>
        <v>21873981.93057</v>
      </c>
      <c r="AJ46" s="35" t="n">
        <f aca="false">SUM(AJ41:AJ45)+AJ91</f>
        <v>21910731.93057</v>
      </c>
      <c r="AK46" s="35" t="n">
        <f aca="false">SUM(AK41:AK45)+AK91</f>
        <v>28077519.9382125</v>
      </c>
      <c r="AL46" s="35" t="n">
        <f aca="false">SUM(AL41:AL45)+AL91</f>
        <v>25358019.9382125</v>
      </c>
      <c r="AM46" s="35" t="n">
        <f aca="false">SUM(AM41:AM45)+AM91</f>
        <v>26664508.4351231</v>
      </c>
      <c r="AN46" s="35" t="n">
        <f aca="false">SUM(AN41:AN45)+AN91</f>
        <v>26703095.9351231</v>
      </c>
      <c r="AO46" s="35" t="n">
        <f aca="false">SUM(AO41:AO45)+AO91</f>
        <v>26741683.4351231</v>
      </c>
      <c r="AP46" s="35" t="n">
        <f aca="false">SUM(AP41:AP45)+AP91</f>
        <v>26780270.9351231</v>
      </c>
      <c r="AQ46" s="35" t="n">
        <f aca="false">SUM(AQ41:AQ45)+AQ91</f>
        <v>26818858.4351231</v>
      </c>
      <c r="AR46" s="35" t="n">
        <f aca="false">SUM(AR41:AR45)+AR91</f>
        <v>26857445.9351231</v>
      </c>
      <c r="AS46" s="35" t="n">
        <f aca="false">SUM(AS41:AS45)+AS91</f>
        <v>26896033.4351231</v>
      </c>
      <c r="AT46" s="35" t="n">
        <f aca="false">SUM(AT41:AT45)+AT91</f>
        <v>26934620.9351231</v>
      </c>
      <c r="AU46" s="35" t="n">
        <f aca="false">SUM(AU41:AU45)+AU91</f>
        <v>33409748.3431477</v>
      </c>
      <c r="AV46" s="35" t="n">
        <f aca="false">SUM(AV41:AV45)+AV91</f>
        <v>30554273.3431478</v>
      </c>
      <c r="AW46" s="35" t="n">
        <f aca="false">SUM(AW41:AW45)+AW91</f>
        <v>30592860.8431478</v>
      </c>
      <c r="AX46" s="35" t="n">
        <f aca="false">SUM(AX41:AX45)+AX91</f>
        <v>30631448.3431477</v>
      </c>
      <c r="AY46" s="35" t="n">
        <f aca="false">SUM(AY41:AY45)+AY91</f>
        <v>32203537.6353051</v>
      </c>
      <c r="AZ46" s="35" t="n">
        <f aca="false">SUM(AZ41:AZ45)+AZ91</f>
        <v>32244054.5103052</v>
      </c>
      <c r="BA46" s="35" t="n">
        <f aca="false">SUM(BA41:BA45)+BA91</f>
        <v>32284571.3853051</v>
      </c>
      <c r="BB46" s="35" t="n">
        <f aca="false">SUM(BB41:BB45)+BB91</f>
        <v>32325088.2603051</v>
      </c>
      <c r="BC46" s="35" t="n">
        <f aca="false">SUM(BC41:BC45)+BC91</f>
        <v>32365605.1353052</v>
      </c>
      <c r="BD46" s="35" t="n">
        <f aca="false">SUM(BD41:BD45)+BD91</f>
        <v>39164488.913731</v>
      </c>
      <c r="BE46" s="35" t="n">
        <f aca="false">SUM(BE41:BE45)+BE91</f>
        <v>36166240.163731</v>
      </c>
      <c r="BF46" s="35" t="n">
        <f aca="false">SUM(BF41:BF45)+BF91</f>
        <v>36206757.038731</v>
      </c>
      <c r="BG46" s="35" t="n">
        <f aca="false">SUM(BG41:BG45)+BG91</f>
        <v>36247273.913731</v>
      </c>
      <c r="BH46" s="35" t="n">
        <f aca="false">SUM(BH41:BH45)+BH91</f>
        <v>36287790.788731</v>
      </c>
      <c r="BI46" s="35" t="n">
        <f aca="false">SUM(BI41:BI45)+BI91</f>
        <v>36328307.663731</v>
      </c>
      <c r="BJ46" s="35" t="n">
        <f aca="false">SUM(BJ41:BJ45)+BJ91</f>
        <v>36368824.538731</v>
      </c>
    </row>
    <row r="47" customFormat="false" ht="15" hidden="false" customHeight="true" outlineLevel="0" collapsed="false">
      <c r="A47" s="16" t="s">
        <v>202</v>
      </c>
      <c r="B47" s="7" t="s">
        <v>146</v>
      </c>
      <c r="C47" s="35" t="n">
        <f aca="false">C23-C46</f>
        <v>-857319.745</v>
      </c>
      <c r="D47" s="35" t="n">
        <f aca="false">D23-D46</f>
        <v>-323546.23</v>
      </c>
      <c r="E47" s="35" t="n">
        <f aca="false">E23-E46</f>
        <v>-173825.995</v>
      </c>
      <c r="F47" s="35" t="n">
        <f aca="false">F23-F46</f>
        <v>281466.035</v>
      </c>
      <c r="G47" s="35" t="n">
        <f aca="false">G23-G46</f>
        <v>737681.27</v>
      </c>
      <c r="H47" s="35" t="n">
        <f aca="false">H23-H46</f>
        <v>1193161.505</v>
      </c>
      <c r="I47" s="35" t="n">
        <f aca="false">I23-I46</f>
        <v>1648453.535</v>
      </c>
      <c r="J47" s="35" t="n">
        <f aca="false">J23-J46</f>
        <v>2026187.285</v>
      </c>
      <c r="K47" s="35" t="n">
        <f aca="false">K23-K46</f>
        <v>2788162.52</v>
      </c>
      <c r="L47" s="35" t="n">
        <f aca="false">L23-L46</f>
        <v>3243642.755</v>
      </c>
      <c r="M47" s="35" t="n">
        <f aca="false">M23-M46</f>
        <v>3698934.785</v>
      </c>
      <c r="N47" s="35" t="n">
        <f aca="false">N23-N46</f>
        <v>4155150.02</v>
      </c>
      <c r="O47" s="35" t="n">
        <f aca="false">O23-O46</f>
        <v>4528398.5315</v>
      </c>
      <c r="P47" s="35" t="n">
        <f aca="false">P23-P46</f>
        <v>5325807.9065</v>
      </c>
      <c r="Q47" s="35" t="n">
        <f aca="false">Q23-Q46</f>
        <v>6123217.2815</v>
      </c>
      <c r="R47" s="35" t="n">
        <f aca="false">R23-R46</f>
        <v>6920626.6565</v>
      </c>
      <c r="S47" s="35" t="n">
        <f aca="false">S23-S46</f>
        <v>7718036.0315</v>
      </c>
      <c r="T47" s="35" t="n">
        <f aca="false">T23-T46</f>
        <v>8515445.4065</v>
      </c>
      <c r="U47" s="35" t="n">
        <f aca="false">U23-U46</f>
        <v>9312854.7815</v>
      </c>
      <c r="V47" s="35" t="n">
        <f aca="false">V23-V46</f>
        <v>9880264.1565</v>
      </c>
      <c r="W47" s="35" t="n">
        <f aca="false">W23-W46</f>
        <v>4839542.09565</v>
      </c>
      <c r="X47" s="35" t="n">
        <f aca="false">X23-X46</f>
        <v>8261951.47065</v>
      </c>
      <c r="Y47" s="35" t="n">
        <f aca="false">Y23-Y46</f>
        <v>9059360.84565</v>
      </c>
      <c r="Z47" s="35" t="n">
        <f aca="false">Z23-Z46</f>
        <v>9856770.22065</v>
      </c>
      <c r="AA47" s="35" t="n">
        <f aca="false">AA23-AA46</f>
        <v>-4136811.18057</v>
      </c>
      <c r="AB47" s="35" t="n">
        <f aca="false">AB23-AB46</f>
        <v>-2797163.43057001</v>
      </c>
      <c r="AC47" s="35" t="n">
        <f aca="false">AC23-AC46</f>
        <v>-1457515.68057</v>
      </c>
      <c r="AD47" s="35" t="n">
        <f aca="false">AD23-AD46</f>
        <v>-117867.930570006</v>
      </c>
      <c r="AE47" s="35" t="n">
        <f aca="false">AE23-AE46</f>
        <v>1221779.81943</v>
      </c>
      <c r="AF47" s="35" t="n">
        <f aca="false">AF23-AF46</f>
        <v>2561427.56942999</v>
      </c>
      <c r="AG47" s="35" t="n">
        <f aca="false">AG23-AG46</f>
        <v>3901075.31942999</v>
      </c>
      <c r="AH47" s="35" t="n">
        <f aca="false">AH23-AH46</f>
        <v>5240723.06943</v>
      </c>
      <c r="AI47" s="35" t="n">
        <f aca="false">AI23-AI46</f>
        <v>6580370.81943</v>
      </c>
      <c r="AJ47" s="35" t="n">
        <f aca="false">AJ23-AJ46</f>
        <v>7570018.56943</v>
      </c>
      <c r="AK47" s="35" t="n">
        <f aca="false">AK23-AK46</f>
        <v>2779628.31178749</v>
      </c>
      <c r="AL47" s="35" t="n">
        <f aca="false">AL23-AL46</f>
        <v>6875526.0617875</v>
      </c>
      <c r="AM47" s="35" t="n">
        <f aca="false">AM23-AM46</f>
        <v>8665932.50237687</v>
      </c>
      <c r="AN47" s="35" t="n">
        <f aca="false">AN23-AN46</f>
        <v>10072562.6398769</v>
      </c>
      <c r="AO47" s="35" t="n">
        <f aca="false">AO23-AO46</f>
        <v>11479192.7773769</v>
      </c>
      <c r="AP47" s="35" t="n">
        <f aca="false">AP23-AP46</f>
        <v>12885822.9148769</v>
      </c>
      <c r="AQ47" s="35" t="n">
        <f aca="false">AQ23-AQ46</f>
        <v>14292453.0523769</v>
      </c>
      <c r="AR47" s="35" t="n">
        <f aca="false">AR23-AR46</f>
        <v>15699083.1898769</v>
      </c>
      <c r="AS47" s="35" t="n">
        <f aca="false">AS23-AS46</f>
        <v>17105713.3273769</v>
      </c>
      <c r="AT47" s="35" t="n">
        <f aca="false">AT23-AT46</f>
        <v>18512343.4648769</v>
      </c>
      <c r="AU47" s="35" t="n">
        <f aca="false">AU23-AU46</f>
        <v>13482433.6943523</v>
      </c>
      <c r="AV47" s="35" t="n">
        <f aca="false">AV23-AV46</f>
        <v>17783126.3318522</v>
      </c>
      <c r="AW47" s="35" t="n">
        <f aca="false">AW23-AW46</f>
        <v>19189756.4693522</v>
      </c>
      <c r="AX47" s="35" t="n">
        <f aca="false">AX23-AX46</f>
        <v>20596386.6068523</v>
      </c>
      <c r="AY47" s="35" t="n">
        <f aca="false">AY23-AY46</f>
        <v>23143167.5815699</v>
      </c>
      <c r="AZ47" s="35" t="n">
        <f aca="false">AZ23-AZ46</f>
        <v>24620129.2259449</v>
      </c>
      <c r="BA47" s="35" t="n">
        <f aca="false">BA23-BA46</f>
        <v>26097090.8703199</v>
      </c>
      <c r="BB47" s="35" t="n">
        <f aca="false">BB23-BB46</f>
        <v>27574052.5146949</v>
      </c>
      <c r="BC47" s="35" t="n">
        <f aca="false">BC23-BC46</f>
        <v>29051014.1590699</v>
      </c>
      <c r="BD47" s="35" t="n">
        <f aca="false">BD23-BD46</f>
        <v>23769608.900019</v>
      </c>
      <c r="BE47" s="35" t="n">
        <f aca="false">BE23-BE46</f>
        <v>28285336.169394</v>
      </c>
      <c r="BF47" s="35" t="n">
        <f aca="false">BF23-BF46</f>
        <v>29762297.813769</v>
      </c>
      <c r="BG47" s="35" t="n">
        <f aca="false">BG23-BG46</f>
        <v>31239259.458144</v>
      </c>
      <c r="BH47" s="35" t="n">
        <f aca="false">BH23-BH46</f>
        <v>32716221.102519</v>
      </c>
      <c r="BI47" s="35" t="n">
        <f aca="false">BI23-BI46</f>
        <v>34193182.746894</v>
      </c>
      <c r="BJ47" s="35" t="n">
        <f aca="false">BJ23-BJ46</f>
        <v>35670144.391269</v>
      </c>
    </row>
    <row r="48" customFormat="false" ht="15" hidden="false" customHeight="true" outlineLevel="0" collapsed="false">
      <c r="A48" s="16" t="s">
        <v>268</v>
      </c>
      <c r="B48" s="7" t="s">
        <v>146</v>
      </c>
      <c r="C48" s="35" t="n">
        <f aca="false">-(Supuestos!$C$71+Supuestos!$C$72+Supuestos!$C$73)+C47</f>
        <v>-2357319.745</v>
      </c>
      <c r="D48" s="35" t="n">
        <f aca="false">C48+D47</f>
        <v>-2680865.975</v>
      </c>
      <c r="E48" s="35" t="n">
        <f aca="false">D48+E47</f>
        <v>-2854691.97</v>
      </c>
      <c r="F48" s="35" t="n">
        <f aca="false">E48+F47</f>
        <v>-2573225.935</v>
      </c>
      <c r="G48" s="35" t="n">
        <f aca="false">F48+G47</f>
        <v>-1835544.665</v>
      </c>
      <c r="H48" s="35" t="n">
        <f aca="false">G48+H47</f>
        <v>-642383.16</v>
      </c>
      <c r="I48" s="35" t="n">
        <f aca="false">H48+I47</f>
        <v>1006070.375</v>
      </c>
      <c r="J48" s="35" t="n">
        <f aca="false">I48+J47</f>
        <v>3032257.66</v>
      </c>
      <c r="K48" s="35" t="n">
        <f aca="false">J48+K47</f>
        <v>5820420.18</v>
      </c>
      <c r="L48" s="35" t="n">
        <f aca="false">K48+L47</f>
        <v>9064062.935</v>
      </c>
      <c r="M48" s="35" t="n">
        <f aca="false">L48+M47</f>
        <v>12762997.72</v>
      </c>
      <c r="N48" s="35" t="n">
        <f aca="false">M48+N47</f>
        <v>16918147.74</v>
      </c>
      <c r="O48" s="35" t="n">
        <f aca="false">N48+O47</f>
        <v>21446546.2715</v>
      </c>
      <c r="P48" s="35" t="n">
        <f aca="false">O48+P47</f>
        <v>26772354.178</v>
      </c>
      <c r="Q48" s="35" t="n">
        <f aca="false">P48+Q47</f>
        <v>32895571.4595</v>
      </c>
      <c r="R48" s="35" t="n">
        <f aca="false">Q48+R47</f>
        <v>39816198.116</v>
      </c>
      <c r="S48" s="35" t="n">
        <f aca="false">R48+S47</f>
        <v>47534234.1475</v>
      </c>
      <c r="T48" s="35" t="n">
        <f aca="false">S48+T47</f>
        <v>56049679.554</v>
      </c>
      <c r="U48" s="35" t="n">
        <f aca="false">T48+U47</f>
        <v>65362534.3355</v>
      </c>
      <c r="V48" s="35" t="n">
        <f aca="false">U48+V47</f>
        <v>75242798.492</v>
      </c>
      <c r="W48" s="35" t="n">
        <f aca="false">V48+W47</f>
        <v>80082340.58765</v>
      </c>
      <c r="X48" s="35" t="n">
        <f aca="false">W48+X47</f>
        <v>88344292.0583</v>
      </c>
      <c r="Y48" s="35" t="n">
        <f aca="false">X48+Y47</f>
        <v>97403652.90395</v>
      </c>
      <c r="Z48" s="35" t="n">
        <f aca="false">Y48+Z47</f>
        <v>107260423.1246</v>
      </c>
      <c r="AA48" s="35" t="n">
        <f aca="false">Z48+AA47</f>
        <v>103123611.94403</v>
      </c>
      <c r="AB48" s="35" t="n">
        <f aca="false">AA48+AB47</f>
        <v>100326448.51346</v>
      </c>
      <c r="AC48" s="35" t="n">
        <f aca="false">AB48+AC47</f>
        <v>98868932.83289</v>
      </c>
      <c r="AD48" s="35" t="n">
        <f aca="false">AC48+AD47</f>
        <v>98751064.90232</v>
      </c>
      <c r="AE48" s="35" t="n">
        <f aca="false">AD48+AE47</f>
        <v>99972844.72175</v>
      </c>
      <c r="AF48" s="35" t="n">
        <f aca="false">AE48+AF47</f>
        <v>102534272.29118</v>
      </c>
      <c r="AG48" s="35" t="n">
        <f aca="false">AF48+AG47</f>
        <v>106435347.61061</v>
      </c>
      <c r="AH48" s="35" t="n">
        <f aca="false">AG48+AH47</f>
        <v>111676070.68004</v>
      </c>
      <c r="AI48" s="35" t="n">
        <f aca="false">AH48+AI47</f>
        <v>118256441.49947</v>
      </c>
      <c r="AJ48" s="35" t="n">
        <f aca="false">AI48+AJ47</f>
        <v>125826460.0689</v>
      </c>
      <c r="AK48" s="35" t="n">
        <f aca="false">AJ48+AK47</f>
        <v>128606088.380687</v>
      </c>
      <c r="AL48" s="35" t="n">
        <f aca="false">AK48+AL47</f>
        <v>135481614.442475</v>
      </c>
      <c r="AM48" s="35" t="n">
        <f aca="false">AL48+AM47</f>
        <v>144147546.944852</v>
      </c>
      <c r="AN48" s="35" t="n">
        <f aca="false">AM48+AN47</f>
        <v>154220109.584729</v>
      </c>
      <c r="AO48" s="35" t="n">
        <f aca="false">AN48+AO47</f>
        <v>165699302.362106</v>
      </c>
      <c r="AP48" s="35" t="n">
        <f aca="false">AO48+AP47</f>
        <v>178585125.276982</v>
      </c>
      <c r="AQ48" s="35" t="n">
        <f aca="false">AP48+AQ47</f>
        <v>192877578.329359</v>
      </c>
      <c r="AR48" s="35" t="n">
        <f aca="false">AQ48+AR47</f>
        <v>208576661.519236</v>
      </c>
      <c r="AS48" s="35" t="n">
        <f aca="false">AR48+AS47</f>
        <v>225682374.846613</v>
      </c>
      <c r="AT48" s="35" t="n">
        <f aca="false">AS48+AT47</f>
        <v>244194718.31149</v>
      </c>
      <c r="AU48" s="35" t="n">
        <f aca="false">AT48+AU47</f>
        <v>257677152.005842</v>
      </c>
      <c r="AV48" s="35" t="n">
        <f aca="false">AU48+AV47</f>
        <v>275460278.337694</v>
      </c>
      <c r="AW48" s="35" t="n">
        <f aca="false">AV48+AW47</f>
        <v>294650034.807047</v>
      </c>
      <c r="AX48" s="35" t="n">
        <f aca="false">AW48+AX47</f>
        <v>315246421.413899</v>
      </c>
      <c r="AY48" s="35" t="n">
        <f aca="false">AX48+AY47</f>
        <v>338389588.995469</v>
      </c>
      <c r="AZ48" s="35" t="n">
        <f aca="false">AY48+AZ47</f>
        <v>363009718.221414</v>
      </c>
      <c r="BA48" s="35" t="n">
        <f aca="false">AZ48+BA47</f>
        <v>389106809.091734</v>
      </c>
      <c r="BB48" s="35" t="n">
        <f aca="false">BA48+BB47</f>
        <v>416680861.606428</v>
      </c>
      <c r="BC48" s="35" t="n">
        <f aca="false">BB48+BC47</f>
        <v>445731875.765498</v>
      </c>
      <c r="BD48" s="35" t="n">
        <f aca="false">BC48+BD47</f>
        <v>469501484.665517</v>
      </c>
      <c r="BE48" s="35" t="n">
        <f aca="false">BD48+BE47</f>
        <v>497786820.834911</v>
      </c>
      <c r="BF48" s="35" t="n">
        <f aca="false">BE48+BF47</f>
        <v>527549118.64868</v>
      </c>
      <c r="BG48" s="35" t="n">
        <f aca="false">BF48+BG47</f>
        <v>558788378.106824</v>
      </c>
      <c r="BH48" s="35" t="n">
        <f aca="false">BG48+BH47</f>
        <v>591504599.209343</v>
      </c>
      <c r="BI48" s="35" t="n">
        <f aca="false">BH48+BI47</f>
        <v>625697781.956237</v>
      </c>
      <c r="BJ48" s="35" t="n">
        <f aca="false">BI48+BJ47</f>
        <v>661367926.347506</v>
      </c>
    </row>
    <row r="49" customFormat="false" ht="15" hidden="false" customHeight="true" outlineLevel="0" collapsed="false">
      <c r="A49" s="10" t="s">
        <v>269</v>
      </c>
      <c r="B49" s="7" t="s">
        <v>146</v>
      </c>
      <c r="C49" s="43" t="n">
        <f aca="false">(Supuestos!$C$51-C35)*C36*C31/Supuestos!$C$51/160</f>
        <v>6665467.7655</v>
      </c>
      <c r="D49" s="43" t="n">
        <f aca="false">(Supuestos!$C$51-D35)*D36*D31/Supuestos!$C$51/160</f>
        <v>6665467.7655</v>
      </c>
      <c r="E49" s="43" t="n">
        <f aca="false">(Supuestos!$C$51-E35)*E36*E31/Supuestos!$C$51/160</f>
        <v>6665467.7655</v>
      </c>
      <c r="F49" s="43" t="n">
        <f aca="false">(Supuestos!$C$51-F35)*F36*F31/Supuestos!$C$51/160</f>
        <v>6665467.7655</v>
      </c>
      <c r="G49" s="43" t="n">
        <f aca="false">(Supuestos!$C$51-G35)*G36*G31/Supuestos!$C$51/160</f>
        <v>6665467.7655</v>
      </c>
      <c r="H49" s="43" t="n">
        <f aca="false">(Supuestos!$C$51-H35)*H36*H31/Supuestos!$C$51/160</f>
        <v>6665467.7655</v>
      </c>
      <c r="I49" s="43" t="n">
        <f aca="false">(Supuestos!$C$51-I35)*I36*I31/Supuestos!$C$51/160</f>
        <v>6665467.7655</v>
      </c>
      <c r="J49" s="43" t="n">
        <f aca="false">(Supuestos!$C$51-J35)*J36*J31/Supuestos!$C$51/160</f>
        <v>6665467.7655</v>
      </c>
      <c r="K49" s="43" t="n">
        <f aca="false">(Supuestos!$C$51-K35)*K36*K31/Supuestos!$C$51/160</f>
        <v>6665467.7655</v>
      </c>
      <c r="L49" s="43" t="n">
        <f aca="false">(Supuestos!$C$51-L35)*L36*L31/Supuestos!$C$51/160</f>
        <v>6665467.7655</v>
      </c>
      <c r="M49" s="43" t="n">
        <f aca="false">(Supuestos!$C$51-M35)*M36*M31/Supuestos!$C$51/160</f>
        <v>6665467.7655</v>
      </c>
      <c r="N49" s="43" t="n">
        <f aca="false">(Supuestos!$C$51-N35)*N36*N31/Supuestos!$C$51/160</f>
        <v>6665467.7655</v>
      </c>
      <c r="O49" s="43" t="n">
        <f aca="false">(Supuestos!$C$51-O35)*O36*O31/Supuestos!$C$51/160</f>
        <v>10498111.7306625</v>
      </c>
      <c r="P49" s="43" t="n">
        <f aca="false">(Supuestos!$C$51-P35)*P36*P31/Supuestos!$C$51/160</f>
        <v>10498111.7306625</v>
      </c>
      <c r="Q49" s="43" t="n">
        <f aca="false">(Supuestos!$C$51-Q35)*Q36*Q31/Supuestos!$C$51/160</f>
        <v>10498111.7306625</v>
      </c>
      <c r="R49" s="43" t="n">
        <f aca="false">(Supuestos!$C$51-R35)*R36*R31/Supuestos!$C$51/160</f>
        <v>10498111.7306625</v>
      </c>
      <c r="S49" s="43" t="n">
        <f aca="false">(Supuestos!$C$51-S35)*S36*S31/Supuestos!$C$51/160</f>
        <v>10498111.7306625</v>
      </c>
      <c r="T49" s="43" t="n">
        <f aca="false">(Supuestos!$C$51-T35)*T36*T31/Supuestos!$C$51/160</f>
        <v>10498111.7306625</v>
      </c>
      <c r="U49" s="43" t="n">
        <f aca="false">(Supuestos!$C$51-U35)*U36*U31/Supuestos!$C$51/160</f>
        <v>10498111.7306625</v>
      </c>
      <c r="V49" s="43" t="n">
        <f aca="false">(Supuestos!$C$51-V35)*V36*V31/Supuestos!$C$51/160</f>
        <v>10498111.7306625</v>
      </c>
      <c r="W49" s="43" t="n">
        <f aca="false">(Supuestos!$C$51-W35)*W36*W31/Supuestos!$C$51/160</f>
        <v>10498111.7306625</v>
      </c>
      <c r="X49" s="43" t="n">
        <f aca="false">(Supuestos!$C$51-X35)*X36*X31/Supuestos!$C$51/160</f>
        <v>10498111.7306625</v>
      </c>
      <c r="Y49" s="43" t="n">
        <f aca="false">(Supuestos!$C$51-Y35)*Y36*Y31/Supuestos!$C$51/160</f>
        <v>10498111.7306625</v>
      </c>
      <c r="Z49" s="43" t="n">
        <f aca="false">(Supuestos!$C$51-Z35)*Z36*Z31/Supuestos!$C$51/160</f>
        <v>10498111.7306625</v>
      </c>
      <c r="AA49" s="43" t="n">
        <f aca="false">(Supuestos!$C$51-AA35)*AA36*AA31/Supuestos!$C$51/160</f>
        <v>0</v>
      </c>
      <c r="AB49" s="43" t="n">
        <f aca="false">(Supuestos!$C$51-AB35)*AB36*AB31/Supuestos!$C$51/160</f>
        <v>0</v>
      </c>
      <c r="AC49" s="43" t="n">
        <f aca="false">(Supuestos!$C$51-AC35)*AC36*AC31/Supuestos!$C$51/160</f>
        <v>0</v>
      </c>
      <c r="AD49" s="43" t="n">
        <f aca="false">(Supuestos!$C$51-AD35)*AD36*AD31/Supuestos!$C$51/160</f>
        <v>0</v>
      </c>
      <c r="AE49" s="43" t="n">
        <f aca="false">(Supuestos!$C$51-AE35)*AE36*AE31/Supuestos!$C$51/160</f>
        <v>0</v>
      </c>
      <c r="AF49" s="43" t="n">
        <f aca="false">(Supuestos!$C$51-AF35)*AF36*AF31/Supuestos!$C$51/160</f>
        <v>0</v>
      </c>
      <c r="AG49" s="43" t="n">
        <f aca="false">(Supuestos!$C$51-AG35)*AG36*AG31/Supuestos!$C$51/160</f>
        <v>0</v>
      </c>
      <c r="AH49" s="43" t="n">
        <f aca="false">(Supuestos!$C$51-AH35)*AH36*AH31/Supuestos!$C$51/160</f>
        <v>0</v>
      </c>
      <c r="AI49" s="43" t="n">
        <f aca="false">(Supuestos!$C$51-AI35)*AI36*AI31/Supuestos!$C$51/160</f>
        <v>0</v>
      </c>
      <c r="AJ49" s="43" t="n">
        <f aca="false">(Supuestos!$C$51-AJ35)*AJ36*AJ31/Supuestos!$C$51/160</f>
        <v>0</v>
      </c>
      <c r="AK49" s="43" t="n">
        <f aca="false">(Supuestos!$C$51-AK35)*AK36*AK31/Supuestos!$C$51/160</f>
        <v>0</v>
      </c>
      <c r="AL49" s="43" t="n">
        <f aca="false">(Supuestos!$C$51-AL35)*AL36*AL31/Supuestos!$C$51/160</f>
        <v>0</v>
      </c>
      <c r="AM49" s="43" t="n">
        <f aca="false">(Supuestos!$C$51-AM35)*AM36*AM31/Supuestos!$C$51/160</f>
        <v>0</v>
      </c>
      <c r="AN49" s="43" t="n">
        <f aca="false">(Supuestos!$C$51-AN35)*AN36*AN31/Supuestos!$C$51/160</f>
        <v>0</v>
      </c>
      <c r="AO49" s="43" t="n">
        <f aca="false">(Supuestos!$C$51-AO35)*AO36*AO31/Supuestos!$C$51/160</f>
        <v>0</v>
      </c>
      <c r="AP49" s="43" t="n">
        <f aca="false">(Supuestos!$C$51-AP35)*AP36*AP31/Supuestos!$C$51/160</f>
        <v>0</v>
      </c>
      <c r="AQ49" s="43" t="n">
        <f aca="false">(Supuestos!$C$51-AQ35)*AQ36*AQ31/Supuestos!$C$51/160</f>
        <v>0</v>
      </c>
      <c r="AR49" s="43" t="n">
        <f aca="false">(Supuestos!$C$51-AR35)*AR36*AR31/Supuestos!$C$51/160</f>
        <v>0</v>
      </c>
      <c r="AS49" s="43" t="n">
        <f aca="false">(Supuestos!$C$51-AS35)*AS36*AS31/Supuestos!$C$51/160</f>
        <v>0</v>
      </c>
      <c r="AT49" s="43" t="n">
        <f aca="false">(Supuestos!$C$51-AT35)*AT36*AT31/Supuestos!$C$51/160</f>
        <v>0</v>
      </c>
      <c r="AU49" s="43" t="n">
        <f aca="false">(Supuestos!$C$51-AU35)*AU36*AU31/Supuestos!$C$51/160</f>
        <v>0</v>
      </c>
      <c r="AV49" s="43" t="n">
        <f aca="false">(Supuestos!$C$51-AV35)*AV36*AV31/Supuestos!$C$51/160</f>
        <v>0</v>
      </c>
      <c r="AW49" s="43" t="n">
        <f aca="false">(Supuestos!$C$51-AW35)*AW36*AW31/Supuestos!$C$51/160</f>
        <v>0</v>
      </c>
      <c r="AX49" s="43" t="n">
        <f aca="false">(Supuestos!$C$51-AX35)*AX36*AX31/Supuestos!$C$51/160</f>
        <v>0</v>
      </c>
      <c r="AY49" s="43" t="n">
        <f aca="false">(Supuestos!$C$51-AY35)*AY36*AY31/Supuestos!$C$51/160</f>
        <v>0</v>
      </c>
      <c r="AZ49" s="43" t="n">
        <f aca="false">(Supuestos!$C$51-AZ35)*AZ36*AZ31/Supuestos!$C$51/160</f>
        <v>0</v>
      </c>
      <c r="BA49" s="43" t="n">
        <f aca="false">(Supuestos!$C$51-BA35)*BA36*BA31/Supuestos!$C$51/160</f>
        <v>0</v>
      </c>
      <c r="BB49" s="43" t="n">
        <f aca="false">(Supuestos!$C$51-BB35)*BB36*BB31/Supuestos!$C$51/160</f>
        <v>0</v>
      </c>
      <c r="BC49" s="43" t="n">
        <f aca="false">(Supuestos!$C$51-BC35)*BC36*BC31/Supuestos!$C$51/160</f>
        <v>0</v>
      </c>
      <c r="BD49" s="43" t="n">
        <f aca="false">(Supuestos!$C$51-BD35)*BD36*BD31/Supuestos!$C$51/160</f>
        <v>0</v>
      </c>
      <c r="BE49" s="43" t="n">
        <f aca="false">(Supuestos!$C$51-BE35)*BE36*BE31/Supuestos!$C$51/160</f>
        <v>0</v>
      </c>
      <c r="BF49" s="43" t="n">
        <f aca="false">(Supuestos!$C$51-BF35)*BF36*BF31/Supuestos!$C$51/160</f>
        <v>0</v>
      </c>
      <c r="BG49" s="43" t="n">
        <f aca="false">(Supuestos!$C$51-BG35)*BG36*BG31/Supuestos!$C$51/160</f>
        <v>0</v>
      </c>
      <c r="BH49" s="43" t="n">
        <f aca="false">(Supuestos!$C$51-BH35)*BH36*BH31/Supuestos!$C$51/160</f>
        <v>0</v>
      </c>
      <c r="BI49" s="43" t="n">
        <f aca="false">(Supuestos!$C$51-BI35)*BI36*BI31/Supuestos!$C$51/160</f>
        <v>0</v>
      </c>
      <c r="BJ49" s="43" t="n">
        <f aca="false">(Supuestos!$C$51-BJ35)*BJ36*BJ31/Supuestos!$C$51/160</f>
        <v>0</v>
      </c>
    </row>
    <row r="51" customFormat="false" ht="15" hidden="false" customHeight="true" outlineLevel="0" collapsed="false">
      <c r="A51" s="8" t="s">
        <v>270</v>
      </c>
      <c r="B51" s="9"/>
      <c r="C51" s="9"/>
      <c r="D51" s="9"/>
      <c r="E51" s="9"/>
      <c r="F51" s="9"/>
      <c r="G51" s="9"/>
      <c r="H51" s="9"/>
    </row>
    <row r="52" customFormat="false" ht="15" hidden="false" customHeight="true" outlineLevel="0" collapsed="false">
      <c r="A52" s="28" t="s">
        <v>181</v>
      </c>
      <c r="B52" s="28" t="s">
        <v>182</v>
      </c>
      <c r="C52" s="28" t="s">
        <v>183</v>
      </c>
      <c r="D52" s="28" t="s">
        <v>184</v>
      </c>
      <c r="E52" s="28" t="s">
        <v>185</v>
      </c>
      <c r="F52" s="28" t="s">
        <v>186</v>
      </c>
      <c r="G52" s="28" t="s">
        <v>187</v>
      </c>
      <c r="H52" s="40"/>
    </row>
    <row r="53" customFormat="false" ht="15" hidden="false" customHeight="true" outlineLevel="0" collapsed="false">
      <c r="A53" s="10" t="s">
        <v>271</v>
      </c>
      <c r="C53" s="44" t="n">
        <f aca="false">INDEX($C$14:$BJ$14,1,12)</f>
        <v>150</v>
      </c>
      <c r="D53" s="44" t="n">
        <f aca="false">INDEX($C$14:$BJ$14,1,24)</f>
        <v>400</v>
      </c>
      <c r="E53" s="44" t="n">
        <f aca="false">INDEX($C$14:$BJ$14,1,36)</f>
        <v>800</v>
      </c>
      <c r="F53" s="44" t="n">
        <f aca="false">INDEX($C$14:$BJ$14,1,48)</f>
        <v>1200</v>
      </c>
      <c r="G53" s="44" t="n">
        <f aca="false">INDEX($C$14:$BJ$14,1,60)</f>
        <v>1600</v>
      </c>
    </row>
    <row r="54" customFormat="false" ht="15" hidden="false" customHeight="true" outlineLevel="0" collapsed="false">
      <c r="A54" s="10" t="s">
        <v>272</v>
      </c>
      <c r="C54" s="44" t="n">
        <f aca="false">SUMIF($C$6:$BJ$6,1,$C$13:$BJ$13)</f>
        <v>165.75</v>
      </c>
      <c r="D54" s="44" t="n">
        <f aca="false">SUMIF($C$6:$BJ$6,2,$C$13:$BJ$13)</f>
        <v>313.5</v>
      </c>
      <c r="E54" s="44" t="n">
        <f aca="false">SUMIF($C$6:$BJ$6,3,$C$13:$BJ$13)</f>
        <v>540</v>
      </c>
      <c r="F54" s="44" t="n">
        <f aca="false">SUMIF($C$6:$BJ$6,4,$C$13:$BJ$13)</f>
        <v>636</v>
      </c>
      <c r="G54" s="44" t="n">
        <f aca="false">SUMIF($C$6:$BJ$6,5,$C$13:$BJ$13)</f>
        <v>732</v>
      </c>
    </row>
    <row r="55" customFormat="false" ht="15" hidden="false" customHeight="true" outlineLevel="0" collapsed="false">
      <c r="A55" s="10" t="s">
        <v>273</v>
      </c>
      <c r="C55" s="44" t="n">
        <f aca="false">SUMIF($C$6:$BJ$6,1,$C$12:$BJ$12)</f>
        <v>15.75</v>
      </c>
      <c r="D55" s="44" t="n">
        <f aca="false">SUMIF($C$6:$BJ$6,2,$C$12:$BJ$12)</f>
        <v>63.5</v>
      </c>
      <c r="E55" s="44" t="n">
        <f aca="false">SUMIF($C$6:$BJ$6,3,$C$12:$BJ$12)</f>
        <v>140</v>
      </c>
      <c r="F55" s="44" t="n">
        <f aca="false">SUMIF($C$6:$BJ$6,4,$C$12:$BJ$12)</f>
        <v>236</v>
      </c>
      <c r="G55" s="44" t="n">
        <f aca="false">SUMIF($C$6:$BJ$6,5,$C$12:$BJ$12)</f>
        <v>332</v>
      </c>
    </row>
    <row r="56" customFormat="false" ht="15" hidden="false" customHeight="true" outlineLevel="0" collapsed="false">
      <c r="A56" s="10" t="s">
        <v>191</v>
      </c>
      <c r="C56" s="43" t="n">
        <f aca="false">INDEX($C$17:$BJ$17,1,12)</f>
        <v>39900</v>
      </c>
      <c r="D56" s="43" t="n">
        <f aca="false">INDEX($C$17:$BJ$17,1,24)</f>
        <v>41895</v>
      </c>
      <c r="E56" s="43" t="n">
        <f aca="false">INDEX($C$17:$BJ$17,1,36)</f>
        <v>43989.75</v>
      </c>
      <c r="F56" s="43" t="n">
        <f aca="false">INDEX($C$17:$BJ$17,1,48)</f>
        <v>46189.2375</v>
      </c>
      <c r="G56" s="43" t="n">
        <f aca="false">INDEX($C$17:$BJ$17,1,60)</f>
        <v>48498.699375</v>
      </c>
    </row>
    <row r="57" customFormat="false" ht="15" hidden="false" customHeight="true" outlineLevel="0" collapsed="false">
      <c r="A57" s="16" t="s">
        <v>57</v>
      </c>
      <c r="C57" s="42" t="n">
        <f aca="false">SUMIF($C$6:$BJ$6,1,$C$18:$BJ$18)/1000000</f>
        <v>37.40625</v>
      </c>
      <c r="D57" s="42" t="n">
        <f aca="false">SUMIF($C$6:$BJ$6,2,$C$18:$BJ$18)/1000000</f>
        <v>143.490375</v>
      </c>
      <c r="E57" s="42" t="n">
        <f aca="false">SUMIF($C$6:$BJ$6,3,$C$18:$BJ$18)/1000000</f>
        <v>325.52415</v>
      </c>
      <c r="F57" s="42" t="n">
        <f aca="false">SUMIF($C$6:$BJ$6,4,$C$18:$BJ$18)/1000000</f>
        <v>563.5086975</v>
      </c>
      <c r="G57" s="42" t="n">
        <f aca="false">SUMIF($C$6:$BJ$6,5,$C$18:$BJ$18)/1000000</f>
        <v>824.477889375</v>
      </c>
    </row>
    <row r="58" customFormat="false" ht="15" hidden="false" customHeight="true" outlineLevel="0" collapsed="false">
      <c r="A58" s="10" t="s">
        <v>193</v>
      </c>
      <c r="C58" s="41" t="n">
        <f aca="false">SUMIF($C$6:$BJ$6,1,$C$22:$BJ$22)/1000000</f>
        <v>4.9340625</v>
      </c>
      <c r="D58" s="41" t="n">
        <f aca="false">SUMIF($C$6:$BJ$6,2,$C$22:$BJ$22)/1000000</f>
        <v>12.59002375</v>
      </c>
      <c r="E58" s="41" t="n">
        <f aca="false">SUMIF($C$6:$BJ$6,3,$C$22:$BJ$22)/1000000</f>
        <v>26.4138495</v>
      </c>
      <c r="F58" s="41" t="n">
        <f aca="false">SUMIF($C$6:$BJ$6,4,$C$22:$BJ$22)/1000000</f>
        <v>44.159042175</v>
      </c>
      <c r="G58" s="41" t="n">
        <f aca="false">SUMIF($C$6:$BJ$6,5,$C$22:$BJ$22)/1000000</f>
        <v>60.16384449375</v>
      </c>
    </row>
    <row r="59" customFormat="false" ht="15" hidden="false" customHeight="true" outlineLevel="0" collapsed="false">
      <c r="A59" s="16" t="s">
        <v>194</v>
      </c>
      <c r="C59" s="42" t="n">
        <f aca="false">C57-C58</f>
        <v>32.4721875</v>
      </c>
      <c r="D59" s="42" t="n">
        <f aca="false">D57-D58</f>
        <v>130.90035125</v>
      </c>
      <c r="E59" s="42" t="n">
        <f aca="false">E57-E58</f>
        <v>299.1103005</v>
      </c>
      <c r="F59" s="42" t="n">
        <f aca="false">F57-F58</f>
        <v>519.349655325</v>
      </c>
      <c r="G59" s="42" t="n">
        <f aca="false">G57-G58</f>
        <v>764.31404488125</v>
      </c>
    </row>
    <row r="60" customFormat="false" ht="15" hidden="false" customHeight="true" outlineLevel="0" collapsed="false">
      <c r="A60" s="10" t="s">
        <v>195</v>
      </c>
      <c r="C60" s="47" t="n">
        <f aca="false">IF(C57=0,0,C59/C57)</f>
        <v>0.868095238095238</v>
      </c>
      <c r="D60" s="47" t="n">
        <f aca="false">IF(D57=0,0,D59/D57)</f>
        <v>0.912258757773823</v>
      </c>
      <c r="E60" s="47" t="n">
        <f aca="false">IF(E57=0,0,E59/E57)</f>
        <v>0.918857481080897</v>
      </c>
      <c r="F60" s="47" t="n">
        <f aca="false">IF(F57=0,0,F59/F57)</f>
        <v>0.921635562377456</v>
      </c>
      <c r="G60" s="47" t="n">
        <f aca="false">IF(G57=0,0,G59/G57)</f>
        <v>0.927027946693201</v>
      </c>
    </row>
    <row r="61" customFormat="false" ht="15" hidden="false" customHeight="true" outlineLevel="0" collapsed="false">
      <c r="A61" s="10" t="s">
        <v>197</v>
      </c>
      <c r="C61" s="41" t="n">
        <f aca="false">SUMIF($C$6:$BJ$6,1,$C$34:$BJ$34)/1000000</f>
        <v>0</v>
      </c>
      <c r="D61" s="41" t="n">
        <f aca="false">SUMIF($C$6:$BJ$6,2,$C$34:$BJ$34)/1000000</f>
        <v>12.8525257434</v>
      </c>
      <c r="E61" s="41" t="n">
        <f aca="false">SUMIF($C$6:$BJ$6,3,$C$34:$BJ$34)/1000000</f>
        <v>47.233032106995</v>
      </c>
      <c r="F61" s="41" t="n">
        <f aca="false">SUMIF($C$6:$BJ$6,4,$C$34:$BJ$34)/1000000</f>
        <v>99.1893674246895</v>
      </c>
      <c r="G61" s="41" t="n">
        <f aca="false">SUMIF($C$6:$BJ$6,5,$C$34:$BJ$34)/1000000</f>
        <v>159.942854972312</v>
      </c>
    </row>
    <row r="62" customFormat="false" ht="15" hidden="false" customHeight="true" outlineLevel="0" collapsed="false">
      <c r="A62" s="10" t="s">
        <v>198</v>
      </c>
      <c r="C62" s="41" t="n">
        <f aca="false">SUMIF($C$6:$BJ$6,1,$C$37:$BJ$37)/1000000</f>
        <v>0</v>
      </c>
      <c r="D62" s="41" t="n">
        <f aca="false">SUMIF($C$6:$BJ$6,2,$C$37:$BJ$37)/1000000</f>
        <v>0</v>
      </c>
      <c r="E62" s="41" t="n">
        <f aca="false">SUMIF($C$6:$BJ$6,3,$C$37:$BJ$37)/1000000</f>
        <v>176.36827707513</v>
      </c>
      <c r="F62" s="41" t="n">
        <f aca="false">SUMIF($C$6:$BJ$6,4,$C$37:$BJ$37)/1000000</f>
        <v>185.186690928887</v>
      </c>
      <c r="G62" s="41" t="n">
        <f aca="false">SUMIF($C$6:$BJ$6,5,$C$37:$BJ$37)/1000000</f>
        <v>194.446025475331</v>
      </c>
    </row>
    <row r="63" customFormat="false" ht="15" hidden="false" customHeight="true" outlineLevel="0" collapsed="false">
      <c r="A63" s="10" t="s">
        <v>199</v>
      </c>
      <c r="C63" s="41" t="n">
        <f aca="false">SUMIF($C$6:$BJ$6,1,$C$42:$BJ$42)/1000000</f>
        <v>8.2875</v>
      </c>
      <c r="D63" s="41" t="n">
        <f aca="false">SUMIF($C$6:$BJ$6,2,$C$42:$BJ$42)/1000000</f>
        <v>16.45875</v>
      </c>
      <c r="E63" s="41" t="n">
        <f aca="false">SUMIF($C$6:$BJ$6,3,$C$42:$BJ$42)/1000000</f>
        <v>29.7675</v>
      </c>
      <c r="F63" s="41" t="n">
        <f aca="false">SUMIF($C$6:$BJ$6,4,$C$42:$BJ$42)/1000000</f>
        <v>36.812475</v>
      </c>
      <c r="G63" s="41" t="n">
        <f aca="false">SUMIF($C$6:$BJ$6,5,$C$42:$BJ$42)/1000000</f>
        <v>44.48752875</v>
      </c>
    </row>
    <row r="64" customFormat="false" ht="15" hidden="false" customHeight="true" outlineLevel="0" collapsed="false">
      <c r="A64" s="10" t="s">
        <v>200</v>
      </c>
      <c r="C64" s="41" t="n">
        <f aca="false">(SUMIF($C$6:$BJ$6,1,$C$43:$BJ$43)+SUMIF($C$6:$BJ$6,1,$C$44:$BJ$44)+SUMIF($C$6:$BJ$6,1,$C$45:$BJ$45)+SUMIF($C$6:$BJ$6,1,$C$91:$BJ$91))/1000000</f>
        <v>5.76653976</v>
      </c>
      <c r="D64" s="41" t="n">
        <f aca="false">(SUMIF($C$6:$BJ$6,2,$C$43:$BJ$43)+SUMIF($C$6:$BJ$6,2,$C$44:$BJ$44)+SUMIF($C$6:$BJ$6,2,$C$45:$BJ$45)+SUMIF($C$6:$BJ$6,2,$C$91:$BJ$91))/1000000</f>
        <v>11.246800122</v>
      </c>
      <c r="E64" s="41" t="n">
        <f aca="false">(SUMIF($C$6:$BJ$6,3,$C$43:$BJ$43)+SUMIF($C$6:$BJ$6,3,$C$44:$BJ$44)+SUMIF($C$6:$BJ$6,3,$C$45:$BJ$45)+SUMIF($C$6:$BJ$6,3,$C$91:$BJ$91))/1000000</f>
        <v>17.5203</v>
      </c>
      <c r="F64" s="41" t="n">
        <f aca="false">(SUMIF($C$6:$BJ$6,4,$C$43:$BJ$43)+SUMIF($C$6:$BJ$6,4,$C$44:$BJ$44)+SUMIF($C$6:$BJ$6,4,$C$45:$BJ$45)+SUMIF($C$6:$BJ$6,4,$C$91:$BJ$91))/1000000</f>
        <v>18.396315</v>
      </c>
      <c r="G64" s="41" t="n">
        <f aca="false">(SUMIF($C$6:$BJ$6,5,$C$43:$BJ$43)+SUMIF($C$6:$BJ$6,5,$C$44:$BJ$44)+SUMIF($C$6:$BJ$6,5,$C$45:$BJ$45)+SUMIF($C$6:$BJ$6,5,$C$91:$BJ$91))/1000000</f>
        <v>19.31613075</v>
      </c>
    </row>
    <row r="65" customFormat="false" ht="15" hidden="false" customHeight="true" outlineLevel="0" collapsed="false">
      <c r="A65" s="16" t="s">
        <v>201</v>
      </c>
      <c r="C65" s="42" t="n">
        <f aca="false">SUMIF($C$6:$BJ$6,1,$C$46:$BJ$46)/1000000</f>
        <v>14.05403976</v>
      </c>
      <c r="D65" s="42" t="n">
        <f aca="false">SUMIF($C$6:$BJ$6,2,$C$46:$BJ$46)/1000000</f>
        <v>40.5580758654</v>
      </c>
      <c r="E65" s="42" t="n">
        <f aca="false">SUMIF($C$6:$BJ$6,3,$C$46:$BJ$46)/1000000</f>
        <v>270.889109182125</v>
      </c>
      <c r="F65" s="42" t="n">
        <f aca="false">SUMIF($C$6:$BJ$6,4,$C$46:$BJ$46)/1000000</f>
        <v>339.584848353576</v>
      </c>
      <c r="G65" s="42" t="n">
        <f aca="false">SUMIF($C$6:$BJ$6,5,$C$46:$BJ$46)/1000000</f>
        <v>418.192539947643</v>
      </c>
    </row>
    <row r="66" customFormat="false" ht="15" hidden="false" customHeight="true" outlineLevel="0" collapsed="false">
      <c r="A66" s="16" t="s">
        <v>202</v>
      </c>
      <c r="C66" s="42" t="n">
        <f aca="false">C59-C65</f>
        <v>18.41814774</v>
      </c>
      <c r="D66" s="42" t="n">
        <f aca="false">D59-D65</f>
        <v>90.3422753846</v>
      </c>
      <c r="E66" s="42" t="n">
        <f aca="false">E59-E65</f>
        <v>28.221191317875</v>
      </c>
      <c r="F66" s="42" t="n">
        <f aca="false">F59-F65</f>
        <v>179.764806971424</v>
      </c>
      <c r="G66" s="42" t="n">
        <f aca="false">G59-G65</f>
        <v>346.121504933607</v>
      </c>
    </row>
    <row r="67" customFormat="false" ht="15" hidden="false" customHeight="true" outlineLevel="0" collapsed="false">
      <c r="A67" s="10" t="s">
        <v>274</v>
      </c>
      <c r="C67" s="41" t="n">
        <f aca="false">0</f>
        <v>0</v>
      </c>
      <c r="D67" s="41" t="n">
        <f aca="false">MIN(0,C67+C66)</f>
        <v>0</v>
      </c>
      <c r="E67" s="41" t="n">
        <f aca="false">MIN(0,D67+D66)</f>
        <v>0</v>
      </c>
      <c r="F67" s="41" t="n">
        <f aca="false">MIN(0,E67+E66)</f>
        <v>0</v>
      </c>
      <c r="G67" s="41" t="n">
        <f aca="false">MIN(0,F67+F66)</f>
        <v>0</v>
      </c>
    </row>
    <row r="68" customFormat="false" ht="15" hidden="false" customHeight="true" outlineLevel="0" collapsed="false">
      <c r="A68" s="10" t="s">
        <v>275</v>
      </c>
      <c r="C68" s="41" t="n">
        <f aca="false">MAX(0,C66+C67)</f>
        <v>18.41814774</v>
      </c>
      <c r="D68" s="41" t="n">
        <f aca="false">MAX(0,D66+D67)</f>
        <v>90.3422753846</v>
      </c>
      <c r="E68" s="41" t="n">
        <f aca="false">MAX(0,E66+E67)</f>
        <v>28.221191317875</v>
      </c>
      <c r="F68" s="41" t="n">
        <f aca="false">MAX(0,F66+F67)</f>
        <v>179.764806971424</v>
      </c>
      <c r="G68" s="41" t="n">
        <f aca="false">MAX(0,G66+G67)</f>
        <v>346.121504933607</v>
      </c>
    </row>
    <row r="69" customFormat="false" ht="15" hidden="false" customHeight="true" outlineLevel="0" collapsed="false">
      <c r="A69" s="10" t="s">
        <v>203</v>
      </c>
      <c r="C69" s="41" t="n">
        <f aca="false">C68*Supuestos!$C$74</f>
        <v>6.446351709</v>
      </c>
      <c r="D69" s="41" t="n">
        <f aca="false">D68*Supuestos!$C$74</f>
        <v>31.61979638461</v>
      </c>
      <c r="E69" s="41" t="n">
        <f aca="false">E68*Supuestos!$C$74</f>
        <v>9.87741696125624</v>
      </c>
      <c r="F69" s="41" t="n">
        <f aca="false">F68*Supuestos!$C$74</f>
        <v>62.9176824399984</v>
      </c>
      <c r="G69" s="41" t="n">
        <f aca="false">G68*Supuestos!$C$74</f>
        <v>121.142526726763</v>
      </c>
    </row>
    <row r="70" customFormat="false" ht="15" hidden="false" customHeight="true" outlineLevel="0" collapsed="false">
      <c r="A70" s="16" t="s">
        <v>204</v>
      </c>
      <c r="C70" s="42" t="n">
        <f aca="false">C66-C69</f>
        <v>11.971796031</v>
      </c>
      <c r="D70" s="42" t="n">
        <f aca="false">D66-D69</f>
        <v>58.72247899999</v>
      </c>
      <c r="E70" s="42" t="n">
        <f aca="false">E66-E69</f>
        <v>18.3437743566187</v>
      </c>
      <c r="F70" s="42" t="n">
        <f aca="false">F66-F69</f>
        <v>116.847124531426</v>
      </c>
      <c r="G70" s="42" t="n">
        <f aca="false">G66-G69</f>
        <v>224.978978206845</v>
      </c>
    </row>
    <row r="71" customFormat="false" ht="15" hidden="false" customHeight="true" outlineLevel="0" collapsed="false">
      <c r="A71" s="16" t="s">
        <v>205</v>
      </c>
      <c r="B71" s="42" t="n">
        <f aca="false">-(Supuestos!$C$71+Supuestos!$C$72+Supuestos!$C$73)/1000000</f>
        <v>-1.5</v>
      </c>
      <c r="C71" s="42" t="n">
        <f aca="false">C70</f>
        <v>11.971796031</v>
      </c>
      <c r="D71" s="42" t="n">
        <f aca="false">D70</f>
        <v>58.72247899999</v>
      </c>
      <c r="E71" s="42" t="n">
        <f aca="false">E70</f>
        <v>18.3437743566187</v>
      </c>
      <c r="F71" s="42" t="n">
        <f aca="false">F70</f>
        <v>116.847124531426</v>
      </c>
      <c r="G71" s="42" t="n">
        <f aca="false">G70</f>
        <v>224.978978206845</v>
      </c>
    </row>
    <row r="72" customFormat="false" ht="15" hidden="false" customHeight="true" outlineLevel="0" collapsed="false">
      <c r="A72" s="16" t="s">
        <v>206</v>
      </c>
      <c r="B72" s="42" t="n">
        <f aca="false">B71</f>
        <v>-1.5</v>
      </c>
      <c r="C72" s="42" t="n">
        <f aca="false">B72+C71</f>
        <v>10.471796031</v>
      </c>
      <c r="D72" s="42" t="n">
        <f aca="false">C72+D71</f>
        <v>69.19427503099</v>
      </c>
      <c r="E72" s="42" t="n">
        <f aca="false">D72+E71</f>
        <v>87.5380493876087</v>
      </c>
      <c r="F72" s="42" t="n">
        <f aca="false">E72+F71</f>
        <v>204.385173919034</v>
      </c>
      <c r="G72" s="42" t="n">
        <f aca="false">F72+G71</f>
        <v>429.364152125879</v>
      </c>
    </row>
    <row r="73" customFormat="false" ht="15" hidden="false" customHeight="true" outlineLevel="0" collapsed="false">
      <c r="A73" s="10" t="s">
        <v>276</v>
      </c>
      <c r="C73" s="39" t="n">
        <f aca="false">IF(C72&gt;=0,1,0)</f>
        <v>1</v>
      </c>
      <c r="D73" s="39" t="n">
        <f aca="false">IF(D72&gt;=0,1,0)</f>
        <v>1</v>
      </c>
      <c r="E73" s="39" t="n">
        <f aca="false">IF(E72&gt;=0,1,0)</f>
        <v>1</v>
      </c>
      <c r="F73" s="39" t="n">
        <f aca="false">IF(F72&gt;=0,1,0)</f>
        <v>1</v>
      </c>
      <c r="G73" s="39" t="n">
        <f aca="false">IF(G72&gt;=0,1,0)</f>
        <v>1</v>
      </c>
    </row>
    <row r="74" customFormat="false" ht="15" hidden="false" customHeight="true" outlineLevel="0" collapsed="false">
      <c r="A74" s="10" t="s">
        <v>207</v>
      </c>
      <c r="C74" s="41" t="n">
        <f aca="false">SUMIF($C$6:$BJ$6,1,$C$49:$BJ$49)/1000000</f>
        <v>79.985613186</v>
      </c>
      <c r="D74" s="41" t="n">
        <f aca="false">SUMIF($C$6:$BJ$6,2,$C$49:$BJ$49)/1000000</f>
        <v>125.97734076795</v>
      </c>
      <c r="E74" s="41" t="n">
        <f aca="false">SUMIF($C$6:$BJ$6,3,$C$49:$BJ$49)/1000000</f>
        <v>0</v>
      </c>
      <c r="F74" s="41" t="n">
        <f aca="false">SUMIF($C$6:$BJ$6,4,$C$49:$BJ$49)/1000000</f>
        <v>0</v>
      </c>
      <c r="G74" s="41" t="n">
        <f aca="false">SUMIF($C$6:$BJ$6,5,$C$49:$BJ$49)/1000000</f>
        <v>0</v>
      </c>
    </row>
    <row r="75" customFormat="false" ht="15" hidden="false" customHeight="true" outlineLevel="0" collapsed="false">
      <c r="A75" s="10" t="s">
        <v>208</v>
      </c>
      <c r="C75" s="39" t="n">
        <f aca="false">INDEX($C$38:$BJ$38,1,12)</f>
        <v>3</v>
      </c>
      <c r="D75" s="39" t="n">
        <f aca="false">INDEX($C$38:$BJ$38,1,24)</f>
        <v>4</v>
      </c>
      <c r="E75" s="39" t="n">
        <f aca="false">INDEX($C$38:$BJ$38,1,36)</f>
        <v>5</v>
      </c>
      <c r="F75" s="39" t="n">
        <f aca="false">INDEX($C$38:$BJ$38,1,48)</f>
        <v>6</v>
      </c>
      <c r="G75" s="39" t="n">
        <f aca="false">INDEX($C$38:$BJ$38,1,60)</f>
        <v>7</v>
      </c>
    </row>
    <row r="76" customFormat="false" ht="15" hidden="false" customHeight="true" outlineLevel="0" collapsed="false">
      <c r="A76" s="10" t="s">
        <v>277</v>
      </c>
      <c r="C76" s="41" t="n">
        <f aca="false">IF(C75=0,0,C57/C75)</f>
        <v>12.46875</v>
      </c>
      <c r="D76" s="41" t="n">
        <f aca="false">IF(D75=0,0,D57/D75)</f>
        <v>35.87259375</v>
      </c>
      <c r="E76" s="41" t="n">
        <f aca="false">IF(E75=0,0,E57/E75)</f>
        <v>65.10483</v>
      </c>
      <c r="F76" s="41" t="n">
        <f aca="false">IF(F75=0,0,F57/F75)</f>
        <v>93.91811625</v>
      </c>
      <c r="G76" s="41" t="n">
        <f aca="false">IF(G75=0,0,G57/G75)</f>
        <v>117.782555625</v>
      </c>
    </row>
    <row r="77" customFormat="false" ht="15" hidden="false" customHeight="true" outlineLevel="0" collapsed="false">
      <c r="A77" s="10" t="s">
        <v>278</v>
      </c>
      <c r="C77" s="44" t="n">
        <f aca="false">ROUNDUP((SUMIF($C$6:$BJ$6,1,$C$46:$BJ$46)+SUMIF($C$6:$BJ$6,1,$C$21:$BJ$21))/12/(INDEX($C$17:$BJ$17,1,12)*(1-Supuestos!$C$30)-Supuestos!$C$29*(1+Supuestos!$C$39)^(1-1)),0)</f>
        <v>38</v>
      </c>
      <c r="D77" s="44" t="n">
        <f aca="false">ROUNDUP((SUMIF($C$6:$BJ$6,2,$C$46:$BJ$46)+SUMIF($C$6:$BJ$6,2,$C$21:$BJ$21))/12/(INDEX($C$17:$BJ$17,1,24)*(1-Supuestos!$C$30)-Supuestos!$C$29*(1+Supuestos!$C$39)^(2-1)),0)</f>
        <v>94</v>
      </c>
      <c r="E77" s="44" t="n">
        <f aca="false">ROUNDUP((SUMIF($C$6:$BJ$6,3,$C$46:$BJ$46)+SUMIF($C$6:$BJ$6,3,$C$21:$BJ$21))/12/(INDEX($C$17:$BJ$17,1,36)*(1-Supuestos!$C$30)-Supuestos!$C$29*(1+Supuestos!$C$39)^(3-1)),0)</f>
        <v>560</v>
      </c>
      <c r="F77" s="44" t="n">
        <f aca="false">ROUNDUP((SUMIF($C$6:$BJ$6,4,$C$46:$BJ$46)+SUMIF($C$6:$BJ$6,4,$C$21:$BJ$21))/12/(INDEX($C$17:$BJ$17,1,48)*(1-Supuestos!$C$30)-Supuestos!$C$29*(1+Supuestos!$C$39)^(4-1)),0)</f>
        <v>672</v>
      </c>
      <c r="G77" s="44" t="n">
        <f aca="false">ROUNDUP((SUMIF($C$6:$BJ$6,5,$C$46:$BJ$46)+SUMIF($C$6:$BJ$6,5,$C$21:$BJ$21))/12/(INDEX($C$17:$BJ$17,1,60)*(1-Supuestos!$C$30)-Supuestos!$C$29*(1+Supuestos!$C$39)^(5-1)),0)</f>
        <v>784</v>
      </c>
    </row>
    <row r="79" customFormat="false" ht="15" hidden="false" customHeight="true" outlineLevel="0" collapsed="false">
      <c r="A79" s="8" t="s">
        <v>279</v>
      </c>
      <c r="B79" s="9"/>
      <c r="C79" s="9"/>
      <c r="D79" s="9"/>
      <c r="E79" s="9"/>
      <c r="F79" s="9"/>
      <c r="G79" s="9"/>
      <c r="H79" s="9"/>
    </row>
    <row r="80" customFormat="false" ht="15" hidden="false" customHeight="true" outlineLevel="0" collapsed="false">
      <c r="A80" s="10" t="s">
        <v>216</v>
      </c>
      <c r="C80" s="42" t="n">
        <f aca="false">B71+NPV(Supuestos!$C$75,C71:G71)</f>
        <v>206.635498119193</v>
      </c>
    </row>
    <row r="81" customFormat="false" ht="15" hidden="false" customHeight="true" outlineLevel="0" collapsed="false">
      <c r="A81" s="10" t="s">
        <v>217</v>
      </c>
      <c r="C81" s="48" t="n">
        <f aca="false">IFERROR(IRR(B71:G71),"No existe")</f>
        <v>10.5283705758749</v>
      </c>
    </row>
    <row r="82" customFormat="false" ht="15" hidden="false" customHeight="true" outlineLevel="0" collapsed="false">
      <c r="A82" s="10" t="s">
        <v>218</v>
      </c>
      <c r="C82" s="46" t="n">
        <f aca="false">IFERROR(MATCH(1,C73:G73,0),"Más de 5 años")</f>
        <v>1</v>
      </c>
    </row>
    <row r="83" customFormat="false" ht="15" hidden="false" customHeight="true" outlineLevel="0" collapsed="false">
      <c r="A83" s="10" t="s">
        <v>219</v>
      </c>
      <c r="C83" s="42" t="n">
        <f aca="false">-MIN(0,MIN($C$48:$BJ$48))/1000000</f>
        <v>2.85469197</v>
      </c>
    </row>
    <row r="84" customFormat="false" ht="15" hidden="false" customHeight="true" outlineLevel="0" collapsed="false">
      <c r="A84" s="10" t="s">
        <v>220</v>
      </c>
      <c r="C84" s="46" t="n">
        <f aca="false">IFERROR(MATCH(TRUE(),INDEX($C$47:$BJ$47&gt;0,0),0),"No ocurre en 5 años")</f>
        <v>4</v>
      </c>
    </row>
    <row r="86" customFormat="false" ht="15" hidden="false" customHeight="false" outlineLevel="0" collapsed="false">
      <c r="A86" s="28" t="s">
        <v>160</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row>
    <row r="87" customFormat="false" ht="15" hidden="false" customHeight="false" outlineLevel="0" collapsed="false">
      <c r="A87" s="16" t="s">
        <v>280</v>
      </c>
      <c r="B87" s="7" t="s">
        <v>109</v>
      </c>
      <c r="C87" s="46" t="n">
        <f aca="false">Supuestos!$C$51-C35</f>
        <v>3</v>
      </c>
      <c r="D87" s="46" t="n">
        <f aca="false">Supuestos!$C$51-D35</f>
        <v>3</v>
      </c>
      <c r="E87" s="46" t="n">
        <f aca="false">Supuestos!$C$51-E35</f>
        <v>3</v>
      </c>
      <c r="F87" s="46" t="n">
        <f aca="false">Supuestos!$C$51-F35</f>
        <v>3</v>
      </c>
      <c r="G87" s="46" t="n">
        <f aca="false">Supuestos!$C$51-G35</f>
        <v>3</v>
      </c>
      <c r="H87" s="46" t="n">
        <f aca="false">Supuestos!$C$51-H35</f>
        <v>3</v>
      </c>
      <c r="I87" s="46" t="n">
        <f aca="false">Supuestos!$C$51-I35</f>
        <v>3</v>
      </c>
      <c r="J87" s="46" t="n">
        <f aca="false">Supuestos!$C$51-J35</f>
        <v>3</v>
      </c>
      <c r="K87" s="46" t="n">
        <f aca="false">Supuestos!$C$51-K35</f>
        <v>3</v>
      </c>
      <c r="L87" s="46" t="n">
        <f aca="false">Supuestos!$C$51-L35</f>
        <v>3</v>
      </c>
      <c r="M87" s="46" t="n">
        <f aca="false">Supuestos!$C$51-M35</f>
        <v>3</v>
      </c>
      <c r="N87" s="46" t="n">
        <f aca="false">Supuestos!$C$51-N35</f>
        <v>3</v>
      </c>
      <c r="O87" s="46" t="n">
        <f aca="false">Supuestos!$C$51-O35</f>
        <v>3</v>
      </c>
      <c r="P87" s="46" t="n">
        <f aca="false">Supuestos!$C$51-P35</f>
        <v>3</v>
      </c>
      <c r="Q87" s="46" t="n">
        <f aca="false">Supuestos!$C$51-Q35</f>
        <v>3</v>
      </c>
      <c r="R87" s="46" t="n">
        <f aca="false">Supuestos!$C$51-R35</f>
        <v>3</v>
      </c>
      <c r="S87" s="46" t="n">
        <f aca="false">Supuestos!$C$51-S35</f>
        <v>3</v>
      </c>
      <c r="T87" s="46" t="n">
        <f aca="false">Supuestos!$C$51-T35</f>
        <v>3</v>
      </c>
      <c r="U87" s="46" t="n">
        <f aca="false">Supuestos!$C$51-U35</f>
        <v>3</v>
      </c>
      <c r="V87" s="46" t="n">
        <f aca="false">Supuestos!$C$51-V35</f>
        <v>3</v>
      </c>
      <c r="W87" s="46" t="n">
        <f aca="false">Supuestos!$C$51-W35</f>
        <v>3</v>
      </c>
      <c r="X87" s="46" t="n">
        <f aca="false">Supuestos!$C$51-X35</f>
        <v>3</v>
      </c>
      <c r="Y87" s="46" t="n">
        <f aca="false">Supuestos!$C$51-Y35</f>
        <v>3</v>
      </c>
      <c r="Z87" s="46" t="n">
        <f aca="false">Supuestos!$C$51-Z35</f>
        <v>3</v>
      </c>
      <c r="AA87" s="46" t="n">
        <f aca="false">Supuestos!$C$51-AA35</f>
        <v>0</v>
      </c>
      <c r="AB87" s="46" t="n">
        <f aca="false">Supuestos!$C$51-AB35</f>
        <v>0</v>
      </c>
      <c r="AC87" s="46" t="n">
        <f aca="false">Supuestos!$C$51-AC35</f>
        <v>0</v>
      </c>
      <c r="AD87" s="46" t="n">
        <f aca="false">Supuestos!$C$51-AD35</f>
        <v>0</v>
      </c>
      <c r="AE87" s="46" t="n">
        <f aca="false">Supuestos!$C$51-AE35</f>
        <v>0</v>
      </c>
      <c r="AF87" s="46" t="n">
        <f aca="false">Supuestos!$C$51-AF35</f>
        <v>0</v>
      </c>
      <c r="AG87" s="46" t="n">
        <f aca="false">Supuestos!$C$51-AG35</f>
        <v>0</v>
      </c>
      <c r="AH87" s="46" t="n">
        <f aca="false">Supuestos!$C$51-AH35</f>
        <v>0</v>
      </c>
      <c r="AI87" s="46" t="n">
        <f aca="false">Supuestos!$C$51-AI35</f>
        <v>0</v>
      </c>
      <c r="AJ87" s="46" t="n">
        <f aca="false">Supuestos!$C$51-AJ35</f>
        <v>0</v>
      </c>
      <c r="AK87" s="46" t="n">
        <f aca="false">Supuestos!$C$51-AK35</f>
        <v>0</v>
      </c>
      <c r="AL87" s="46" t="n">
        <f aca="false">Supuestos!$C$51-AL35</f>
        <v>0</v>
      </c>
      <c r="AM87" s="46" t="n">
        <f aca="false">Supuestos!$C$51-AM35</f>
        <v>0</v>
      </c>
      <c r="AN87" s="46" t="n">
        <f aca="false">Supuestos!$C$51-AN35</f>
        <v>0</v>
      </c>
      <c r="AO87" s="46" t="n">
        <f aca="false">Supuestos!$C$51-AO35</f>
        <v>0</v>
      </c>
      <c r="AP87" s="46" t="n">
        <f aca="false">Supuestos!$C$51-AP35</f>
        <v>0</v>
      </c>
      <c r="AQ87" s="46" t="n">
        <f aca="false">Supuestos!$C$51-AQ35</f>
        <v>0</v>
      </c>
      <c r="AR87" s="46" t="n">
        <f aca="false">Supuestos!$C$51-AR35</f>
        <v>0</v>
      </c>
      <c r="AS87" s="46" t="n">
        <f aca="false">Supuestos!$C$51-AS35</f>
        <v>0</v>
      </c>
      <c r="AT87" s="46" t="n">
        <f aca="false">Supuestos!$C$51-AT35</f>
        <v>0</v>
      </c>
      <c r="AU87" s="46" t="n">
        <f aca="false">Supuestos!$C$51-AU35</f>
        <v>0</v>
      </c>
      <c r="AV87" s="46" t="n">
        <f aca="false">Supuestos!$C$51-AV35</f>
        <v>0</v>
      </c>
      <c r="AW87" s="46" t="n">
        <f aca="false">Supuestos!$C$51-AW35</f>
        <v>0</v>
      </c>
      <c r="AX87" s="46" t="n">
        <f aca="false">Supuestos!$C$51-AX35</f>
        <v>0</v>
      </c>
      <c r="AY87" s="46" t="n">
        <f aca="false">Supuestos!$C$51-AY35</f>
        <v>0</v>
      </c>
      <c r="AZ87" s="46" t="n">
        <f aca="false">Supuestos!$C$51-AZ35</f>
        <v>0</v>
      </c>
      <c r="BA87" s="46" t="n">
        <f aca="false">Supuestos!$C$51-BA35</f>
        <v>0</v>
      </c>
      <c r="BB87" s="46" t="n">
        <f aca="false">Supuestos!$C$51-BB35</f>
        <v>0</v>
      </c>
      <c r="BC87" s="46" t="n">
        <f aca="false">Supuestos!$C$51-BC35</f>
        <v>0</v>
      </c>
      <c r="BD87" s="46" t="n">
        <f aca="false">Supuestos!$C$51-BD35</f>
        <v>0</v>
      </c>
      <c r="BE87" s="46" t="n">
        <f aca="false">Supuestos!$C$51-BE35</f>
        <v>0</v>
      </c>
      <c r="BF87" s="46" t="n">
        <f aca="false">Supuestos!$C$51-BF35</f>
        <v>0</v>
      </c>
      <c r="BG87" s="46" t="n">
        <f aca="false">Supuestos!$C$51-BG35</f>
        <v>0</v>
      </c>
      <c r="BH87" s="46" t="n">
        <f aca="false">Supuestos!$C$51-BH35</f>
        <v>0</v>
      </c>
      <c r="BI87" s="46" t="n">
        <f aca="false">Supuestos!$C$51-BI35</f>
        <v>0</v>
      </c>
      <c r="BJ87" s="46" t="n">
        <f aca="false">Supuestos!$C$51-BJ35</f>
        <v>0</v>
      </c>
    </row>
    <row r="88" customFormat="false" ht="15" hidden="false" customHeight="false" outlineLevel="0" collapsed="false">
      <c r="A88" s="10" t="s">
        <v>281</v>
      </c>
      <c r="B88" s="7" t="s">
        <v>146</v>
      </c>
      <c r="C88" s="43" t="n">
        <f aca="false">C87*(Supuestos!$C$84/1000*(C31/Supuestos!$C$51)*Supuestos!$C$83+Supuestos!$C$85*MIN(1,(C31/Supuestos!$C$51)/Supuestos!$C$86))*(1+Supuestos!$C$39)^(C6-1)</f>
        <v>45544.98</v>
      </c>
      <c r="D88" s="43" t="n">
        <f aca="false">D87*(Supuestos!$C$84/1000*(D31/Supuestos!$C$51)*Supuestos!$C$83+Supuestos!$C$85*MIN(1,(D31/Supuestos!$C$51)/Supuestos!$C$86))*(1+Supuestos!$C$39)^(D6-1)</f>
        <v>45544.98</v>
      </c>
      <c r="E88" s="43" t="n">
        <f aca="false">E87*(Supuestos!$C$84/1000*(E31/Supuestos!$C$51)*Supuestos!$C$83+Supuestos!$C$85*MIN(1,(E31/Supuestos!$C$51)/Supuestos!$C$86))*(1+Supuestos!$C$39)^(E6-1)</f>
        <v>45544.98</v>
      </c>
      <c r="F88" s="43" t="n">
        <f aca="false">F87*(Supuestos!$C$84/1000*(F31/Supuestos!$C$51)*Supuestos!$C$83+Supuestos!$C$85*MIN(1,(F31/Supuestos!$C$51)/Supuestos!$C$86))*(1+Supuestos!$C$39)^(F6-1)</f>
        <v>45544.98</v>
      </c>
      <c r="G88" s="43" t="n">
        <f aca="false">G87*(Supuestos!$C$84/1000*(G31/Supuestos!$C$51)*Supuestos!$C$83+Supuestos!$C$85*MIN(1,(G31/Supuestos!$C$51)/Supuestos!$C$86))*(1+Supuestos!$C$39)^(G6-1)</f>
        <v>45544.98</v>
      </c>
      <c r="H88" s="43" t="n">
        <f aca="false">H87*(Supuestos!$C$84/1000*(H31/Supuestos!$C$51)*Supuestos!$C$83+Supuestos!$C$85*MIN(1,(H31/Supuestos!$C$51)/Supuestos!$C$86))*(1+Supuestos!$C$39)^(H6-1)</f>
        <v>45544.98</v>
      </c>
      <c r="I88" s="43" t="n">
        <f aca="false">I87*(Supuestos!$C$84/1000*(I31/Supuestos!$C$51)*Supuestos!$C$83+Supuestos!$C$85*MIN(1,(I31/Supuestos!$C$51)/Supuestos!$C$86))*(1+Supuestos!$C$39)^(I6-1)</f>
        <v>45544.98</v>
      </c>
      <c r="J88" s="43" t="n">
        <f aca="false">J87*(Supuestos!$C$84/1000*(J31/Supuestos!$C$51)*Supuestos!$C$83+Supuestos!$C$85*MIN(1,(J31/Supuestos!$C$51)/Supuestos!$C$86))*(1+Supuestos!$C$39)^(J6-1)</f>
        <v>45544.98</v>
      </c>
      <c r="K88" s="43" t="n">
        <f aca="false">K87*(Supuestos!$C$84/1000*(K31/Supuestos!$C$51)*Supuestos!$C$83+Supuestos!$C$85*MIN(1,(K31/Supuestos!$C$51)/Supuestos!$C$86))*(1+Supuestos!$C$39)^(K6-1)</f>
        <v>45544.98</v>
      </c>
      <c r="L88" s="43" t="n">
        <f aca="false">L87*(Supuestos!$C$84/1000*(L31/Supuestos!$C$51)*Supuestos!$C$83+Supuestos!$C$85*MIN(1,(L31/Supuestos!$C$51)/Supuestos!$C$86))*(1+Supuestos!$C$39)^(L6-1)</f>
        <v>45544.98</v>
      </c>
      <c r="M88" s="43" t="n">
        <f aca="false">M87*(Supuestos!$C$84/1000*(M31/Supuestos!$C$51)*Supuestos!$C$83+Supuestos!$C$85*MIN(1,(M31/Supuestos!$C$51)/Supuestos!$C$86))*(1+Supuestos!$C$39)^(M6-1)</f>
        <v>45544.98</v>
      </c>
      <c r="N88" s="43" t="n">
        <f aca="false">N87*(Supuestos!$C$84/1000*(N31/Supuestos!$C$51)*Supuestos!$C$83+Supuestos!$C$85*MIN(1,(N31/Supuestos!$C$51)/Supuestos!$C$86))*(1+Supuestos!$C$39)^(N6-1)</f>
        <v>45544.98</v>
      </c>
      <c r="O88" s="43" t="n">
        <f aca="false">O87*(Supuestos!$C$84/1000*(O31/Supuestos!$C$51)*Supuestos!$C$83+Supuestos!$C$85*MIN(1,(O31/Supuestos!$C$51)/Supuestos!$C$86))*(1+Supuestos!$C$39)^(O6-1)</f>
        <v>71733.3435</v>
      </c>
      <c r="P88" s="43" t="n">
        <f aca="false">P87*(Supuestos!$C$84/1000*(P31/Supuestos!$C$51)*Supuestos!$C$83+Supuestos!$C$85*MIN(1,(P31/Supuestos!$C$51)/Supuestos!$C$86))*(1+Supuestos!$C$39)^(P6-1)</f>
        <v>71733.3435</v>
      </c>
      <c r="Q88" s="43" t="n">
        <f aca="false">Q87*(Supuestos!$C$84/1000*(Q31/Supuestos!$C$51)*Supuestos!$C$83+Supuestos!$C$85*MIN(1,(Q31/Supuestos!$C$51)/Supuestos!$C$86))*(1+Supuestos!$C$39)^(Q6-1)</f>
        <v>71733.3435</v>
      </c>
      <c r="R88" s="43" t="n">
        <f aca="false">R87*(Supuestos!$C$84/1000*(R31/Supuestos!$C$51)*Supuestos!$C$83+Supuestos!$C$85*MIN(1,(R31/Supuestos!$C$51)/Supuestos!$C$86))*(1+Supuestos!$C$39)^(R6-1)</f>
        <v>71733.3435</v>
      </c>
      <c r="S88" s="43" t="n">
        <f aca="false">S87*(Supuestos!$C$84/1000*(S31/Supuestos!$C$51)*Supuestos!$C$83+Supuestos!$C$85*MIN(1,(S31/Supuestos!$C$51)/Supuestos!$C$86))*(1+Supuestos!$C$39)^(S6-1)</f>
        <v>71733.3435</v>
      </c>
      <c r="T88" s="43" t="n">
        <f aca="false">T87*(Supuestos!$C$84/1000*(T31/Supuestos!$C$51)*Supuestos!$C$83+Supuestos!$C$85*MIN(1,(T31/Supuestos!$C$51)/Supuestos!$C$86))*(1+Supuestos!$C$39)^(T6-1)</f>
        <v>71733.3435</v>
      </c>
      <c r="U88" s="43" t="n">
        <f aca="false">U87*(Supuestos!$C$84/1000*(U31/Supuestos!$C$51)*Supuestos!$C$83+Supuestos!$C$85*MIN(1,(U31/Supuestos!$C$51)/Supuestos!$C$86))*(1+Supuestos!$C$39)^(U6-1)</f>
        <v>71733.3435</v>
      </c>
      <c r="V88" s="43" t="n">
        <f aca="false">V87*(Supuestos!$C$84/1000*(V31/Supuestos!$C$51)*Supuestos!$C$83+Supuestos!$C$85*MIN(1,(V31/Supuestos!$C$51)/Supuestos!$C$86))*(1+Supuestos!$C$39)^(V6-1)</f>
        <v>71733.3435</v>
      </c>
      <c r="W88" s="43" t="n">
        <f aca="false">W87*(Supuestos!$C$84/1000*(W31/Supuestos!$C$51)*Supuestos!$C$83+Supuestos!$C$85*MIN(1,(W31/Supuestos!$C$51)/Supuestos!$C$86))*(1+Supuestos!$C$39)^(W6-1)</f>
        <v>71733.3435</v>
      </c>
      <c r="X88" s="43" t="n">
        <f aca="false">X87*(Supuestos!$C$84/1000*(X31/Supuestos!$C$51)*Supuestos!$C$83+Supuestos!$C$85*MIN(1,(X31/Supuestos!$C$51)/Supuestos!$C$86))*(1+Supuestos!$C$39)^(X6-1)</f>
        <v>71733.3435</v>
      </c>
      <c r="Y88" s="43" t="n">
        <f aca="false">Y87*(Supuestos!$C$84/1000*(Y31/Supuestos!$C$51)*Supuestos!$C$83+Supuestos!$C$85*MIN(1,(Y31/Supuestos!$C$51)/Supuestos!$C$86))*(1+Supuestos!$C$39)^(Y6-1)</f>
        <v>71733.3435</v>
      </c>
      <c r="Z88" s="43" t="n">
        <f aca="false">Z87*(Supuestos!$C$84/1000*(Z31/Supuestos!$C$51)*Supuestos!$C$83+Supuestos!$C$85*MIN(1,(Z31/Supuestos!$C$51)/Supuestos!$C$86))*(1+Supuestos!$C$39)^(Z6-1)</f>
        <v>71733.3435</v>
      </c>
      <c r="AA88" s="43" t="n">
        <f aca="false">AA87*(Supuestos!$C$84/1000*(AA31/Supuestos!$C$51)*Supuestos!$C$83+Supuestos!$C$85*MIN(1,(AA31/Supuestos!$C$51)/Supuestos!$C$86))*(1+Supuestos!$C$39)^(AA6-1)</f>
        <v>0</v>
      </c>
      <c r="AB88" s="43" t="n">
        <f aca="false">AB87*(Supuestos!$C$84/1000*(AB31/Supuestos!$C$51)*Supuestos!$C$83+Supuestos!$C$85*MIN(1,(AB31/Supuestos!$C$51)/Supuestos!$C$86))*(1+Supuestos!$C$39)^(AB6-1)</f>
        <v>0</v>
      </c>
      <c r="AC88" s="43" t="n">
        <f aca="false">AC87*(Supuestos!$C$84/1000*(AC31/Supuestos!$C$51)*Supuestos!$C$83+Supuestos!$C$85*MIN(1,(AC31/Supuestos!$C$51)/Supuestos!$C$86))*(1+Supuestos!$C$39)^(AC6-1)</f>
        <v>0</v>
      </c>
      <c r="AD88" s="43" t="n">
        <f aca="false">AD87*(Supuestos!$C$84/1000*(AD31/Supuestos!$C$51)*Supuestos!$C$83+Supuestos!$C$85*MIN(1,(AD31/Supuestos!$C$51)/Supuestos!$C$86))*(1+Supuestos!$C$39)^(AD6-1)</f>
        <v>0</v>
      </c>
      <c r="AE88" s="43" t="n">
        <f aca="false">AE87*(Supuestos!$C$84/1000*(AE31/Supuestos!$C$51)*Supuestos!$C$83+Supuestos!$C$85*MIN(1,(AE31/Supuestos!$C$51)/Supuestos!$C$86))*(1+Supuestos!$C$39)^(AE6-1)</f>
        <v>0</v>
      </c>
      <c r="AF88" s="43" t="n">
        <f aca="false">AF87*(Supuestos!$C$84/1000*(AF31/Supuestos!$C$51)*Supuestos!$C$83+Supuestos!$C$85*MIN(1,(AF31/Supuestos!$C$51)/Supuestos!$C$86))*(1+Supuestos!$C$39)^(AF6-1)</f>
        <v>0</v>
      </c>
      <c r="AG88" s="43" t="n">
        <f aca="false">AG87*(Supuestos!$C$84/1000*(AG31/Supuestos!$C$51)*Supuestos!$C$83+Supuestos!$C$85*MIN(1,(AG31/Supuestos!$C$51)/Supuestos!$C$86))*(1+Supuestos!$C$39)^(AG6-1)</f>
        <v>0</v>
      </c>
      <c r="AH88" s="43" t="n">
        <f aca="false">AH87*(Supuestos!$C$84/1000*(AH31/Supuestos!$C$51)*Supuestos!$C$83+Supuestos!$C$85*MIN(1,(AH31/Supuestos!$C$51)/Supuestos!$C$86))*(1+Supuestos!$C$39)^(AH6-1)</f>
        <v>0</v>
      </c>
      <c r="AI88" s="43" t="n">
        <f aca="false">AI87*(Supuestos!$C$84/1000*(AI31/Supuestos!$C$51)*Supuestos!$C$83+Supuestos!$C$85*MIN(1,(AI31/Supuestos!$C$51)/Supuestos!$C$86))*(1+Supuestos!$C$39)^(AI6-1)</f>
        <v>0</v>
      </c>
      <c r="AJ88" s="43" t="n">
        <f aca="false">AJ87*(Supuestos!$C$84/1000*(AJ31/Supuestos!$C$51)*Supuestos!$C$83+Supuestos!$C$85*MIN(1,(AJ31/Supuestos!$C$51)/Supuestos!$C$86))*(1+Supuestos!$C$39)^(AJ6-1)</f>
        <v>0</v>
      </c>
      <c r="AK88" s="43" t="n">
        <f aca="false">AK87*(Supuestos!$C$84/1000*(AK31/Supuestos!$C$51)*Supuestos!$C$83+Supuestos!$C$85*MIN(1,(AK31/Supuestos!$C$51)/Supuestos!$C$86))*(1+Supuestos!$C$39)^(AK6-1)</f>
        <v>0</v>
      </c>
      <c r="AL88" s="43" t="n">
        <f aca="false">AL87*(Supuestos!$C$84/1000*(AL31/Supuestos!$C$51)*Supuestos!$C$83+Supuestos!$C$85*MIN(1,(AL31/Supuestos!$C$51)/Supuestos!$C$86))*(1+Supuestos!$C$39)^(AL6-1)</f>
        <v>0</v>
      </c>
      <c r="AM88" s="43" t="n">
        <f aca="false">AM87*(Supuestos!$C$84/1000*(AM31/Supuestos!$C$51)*Supuestos!$C$83+Supuestos!$C$85*MIN(1,(AM31/Supuestos!$C$51)/Supuestos!$C$86))*(1+Supuestos!$C$39)^(AM6-1)</f>
        <v>0</v>
      </c>
      <c r="AN88" s="43" t="n">
        <f aca="false">AN87*(Supuestos!$C$84/1000*(AN31/Supuestos!$C$51)*Supuestos!$C$83+Supuestos!$C$85*MIN(1,(AN31/Supuestos!$C$51)/Supuestos!$C$86))*(1+Supuestos!$C$39)^(AN6-1)</f>
        <v>0</v>
      </c>
      <c r="AO88" s="43" t="n">
        <f aca="false">AO87*(Supuestos!$C$84/1000*(AO31/Supuestos!$C$51)*Supuestos!$C$83+Supuestos!$C$85*MIN(1,(AO31/Supuestos!$C$51)/Supuestos!$C$86))*(1+Supuestos!$C$39)^(AO6-1)</f>
        <v>0</v>
      </c>
      <c r="AP88" s="43" t="n">
        <f aca="false">AP87*(Supuestos!$C$84/1000*(AP31/Supuestos!$C$51)*Supuestos!$C$83+Supuestos!$C$85*MIN(1,(AP31/Supuestos!$C$51)/Supuestos!$C$86))*(1+Supuestos!$C$39)^(AP6-1)</f>
        <v>0</v>
      </c>
      <c r="AQ88" s="43" t="n">
        <f aca="false">AQ87*(Supuestos!$C$84/1000*(AQ31/Supuestos!$C$51)*Supuestos!$C$83+Supuestos!$C$85*MIN(1,(AQ31/Supuestos!$C$51)/Supuestos!$C$86))*(1+Supuestos!$C$39)^(AQ6-1)</f>
        <v>0</v>
      </c>
      <c r="AR88" s="43" t="n">
        <f aca="false">AR87*(Supuestos!$C$84/1000*(AR31/Supuestos!$C$51)*Supuestos!$C$83+Supuestos!$C$85*MIN(1,(AR31/Supuestos!$C$51)/Supuestos!$C$86))*(1+Supuestos!$C$39)^(AR6-1)</f>
        <v>0</v>
      </c>
      <c r="AS88" s="43" t="n">
        <f aca="false">AS87*(Supuestos!$C$84/1000*(AS31/Supuestos!$C$51)*Supuestos!$C$83+Supuestos!$C$85*MIN(1,(AS31/Supuestos!$C$51)/Supuestos!$C$86))*(1+Supuestos!$C$39)^(AS6-1)</f>
        <v>0</v>
      </c>
      <c r="AT88" s="43" t="n">
        <f aca="false">AT87*(Supuestos!$C$84/1000*(AT31/Supuestos!$C$51)*Supuestos!$C$83+Supuestos!$C$85*MIN(1,(AT31/Supuestos!$C$51)/Supuestos!$C$86))*(1+Supuestos!$C$39)^(AT6-1)</f>
        <v>0</v>
      </c>
      <c r="AU88" s="43" t="n">
        <f aca="false">AU87*(Supuestos!$C$84/1000*(AU31/Supuestos!$C$51)*Supuestos!$C$83+Supuestos!$C$85*MIN(1,(AU31/Supuestos!$C$51)/Supuestos!$C$86))*(1+Supuestos!$C$39)^(AU6-1)</f>
        <v>0</v>
      </c>
      <c r="AV88" s="43" t="n">
        <f aca="false">AV87*(Supuestos!$C$84/1000*(AV31/Supuestos!$C$51)*Supuestos!$C$83+Supuestos!$C$85*MIN(1,(AV31/Supuestos!$C$51)/Supuestos!$C$86))*(1+Supuestos!$C$39)^(AV6-1)</f>
        <v>0</v>
      </c>
      <c r="AW88" s="43" t="n">
        <f aca="false">AW87*(Supuestos!$C$84/1000*(AW31/Supuestos!$C$51)*Supuestos!$C$83+Supuestos!$C$85*MIN(1,(AW31/Supuestos!$C$51)/Supuestos!$C$86))*(1+Supuestos!$C$39)^(AW6-1)</f>
        <v>0</v>
      </c>
      <c r="AX88" s="43" t="n">
        <f aca="false">AX87*(Supuestos!$C$84/1000*(AX31/Supuestos!$C$51)*Supuestos!$C$83+Supuestos!$C$85*MIN(1,(AX31/Supuestos!$C$51)/Supuestos!$C$86))*(1+Supuestos!$C$39)^(AX6-1)</f>
        <v>0</v>
      </c>
      <c r="AY88" s="43" t="n">
        <f aca="false">AY87*(Supuestos!$C$84/1000*(AY31/Supuestos!$C$51)*Supuestos!$C$83+Supuestos!$C$85*MIN(1,(AY31/Supuestos!$C$51)/Supuestos!$C$86))*(1+Supuestos!$C$39)^(AY6-1)</f>
        <v>0</v>
      </c>
      <c r="AZ88" s="43" t="n">
        <f aca="false">AZ87*(Supuestos!$C$84/1000*(AZ31/Supuestos!$C$51)*Supuestos!$C$83+Supuestos!$C$85*MIN(1,(AZ31/Supuestos!$C$51)/Supuestos!$C$86))*(1+Supuestos!$C$39)^(AZ6-1)</f>
        <v>0</v>
      </c>
      <c r="BA88" s="43" t="n">
        <f aca="false">BA87*(Supuestos!$C$84/1000*(BA31/Supuestos!$C$51)*Supuestos!$C$83+Supuestos!$C$85*MIN(1,(BA31/Supuestos!$C$51)/Supuestos!$C$86))*(1+Supuestos!$C$39)^(BA6-1)</f>
        <v>0</v>
      </c>
      <c r="BB88" s="43" t="n">
        <f aca="false">BB87*(Supuestos!$C$84/1000*(BB31/Supuestos!$C$51)*Supuestos!$C$83+Supuestos!$C$85*MIN(1,(BB31/Supuestos!$C$51)/Supuestos!$C$86))*(1+Supuestos!$C$39)^(BB6-1)</f>
        <v>0</v>
      </c>
      <c r="BC88" s="43" t="n">
        <f aca="false">BC87*(Supuestos!$C$84/1000*(BC31/Supuestos!$C$51)*Supuestos!$C$83+Supuestos!$C$85*MIN(1,(BC31/Supuestos!$C$51)/Supuestos!$C$86))*(1+Supuestos!$C$39)^(BC6-1)</f>
        <v>0</v>
      </c>
      <c r="BD88" s="43" t="n">
        <f aca="false">BD87*(Supuestos!$C$84/1000*(BD31/Supuestos!$C$51)*Supuestos!$C$83+Supuestos!$C$85*MIN(1,(BD31/Supuestos!$C$51)/Supuestos!$C$86))*(1+Supuestos!$C$39)^(BD6-1)</f>
        <v>0</v>
      </c>
      <c r="BE88" s="43" t="n">
        <f aca="false">BE87*(Supuestos!$C$84/1000*(BE31/Supuestos!$C$51)*Supuestos!$C$83+Supuestos!$C$85*MIN(1,(BE31/Supuestos!$C$51)/Supuestos!$C$86))*(1+Supuestos!$C$39)^(BE6-1)</f>
        <v>0</v>
      </c>
      <c r="BF88" s="43" t="n">
        <f aca="false">BF87*(Supuestos!$C$84/1000*(BF31/Supuestos!$C$51)*Supuestos!$C$83+Supuestos!$C$85*MIN(1,(BF31/Supuestos!$C$51)/Supuestos!$C$86))*(1+Supuestos!$C$39)^(BF6-1)</f>
        <v>0</v>
      </c>
      <c r="BG88" s="43" t="n">
        <f aca="false">BG87*(Supuestos!$C$84/1000*(BG31/Supuestos!$C$51)*Supuestos!$C$83+Supuestos!$C$85*MIN(1,(BG31/Supuestos!$C$51)/Supuestos!$C$86))*(1+Supuestos!$C$39)^(BG6-1)</f>
        <v>0</v>
      </c>
      <c r="BH88" s="43" t="n">
        <f aca="false">BH87*(Supuestos!$C$84/1000*(BH31/Supuestos!$C$51)*Supuestos!$C$83+Supuestos!$C$85*MIN(1,(BH31/Supuestos!$C$51)/Supuestos!$C$86))*(1+Supuestos!$C$39)^(BH6-1)</f>
        <v>0</v>
      </c>
      <c r="BI88" s="43" t="n">
        <f aca="false">BI87*(Supuestos!$C$84/1000*(BI31/Supuestos!$C$51)*Supuestos!$C$83+Supuestos!$C$85*MIN(1,(BI31/Supuestos!$C$51)/Supuestos!$C$86))*(1+Supuestos!$C$39)^(BI6-1)</f>
        <v>0</v>
      </c>
      <c r="BJ88" s="43" t="n">
        <f aca="false">BJ87*(Supuestos!$C$84/1000*(BJ31/Supuestos!$C$51)*Supuestos!$C$83+Supuestos!$C$85*MIN(1,(BJ31/Supuestos!$C$51)/Supuestos!$C$86))*(1+Supuestos!$C$39)^(BJ6-1)</f>
        <v>0</v>
      </c>
    </row>
    <row r="89" customFormat="false" ht="15" hidden="false" customHeight="false" outlineLevel="0" collapsed="false">
      <c r="A89" s="10" t="s">
        <v>282</v>
      </c>
      <c r="B89" s="7" t="s">
        <v>146</v>
      </c>
      <c r="C89" s="43" t="n">
        <f aca="false">Supuestos!$C$51*Supuestos!$C$87/Supuestos!$C$88*(1+Supuestos!$C$39)^(C6-1)</f>
        <v>125000</v>
      </c>
      <c r="D89" s="43" t="n">
        <f aca="false">Supuestos!$C$51*Supuestos!$C$87/Supuestos!$C$88*(1+Supuestos!$C$39)^(D6-1)</f>
        <v>125000</v>
      </c>
      <c r="E89" s="43" t="n">
        <f aca="false">Supuestos!$C$51*Supuestos!$C$87/Supuestos!$C$88*(1+Supuestos!$C$39)^(E6-1)</f>
        <v>125000</v>
      </c>
      <c r="F89" s="43" t="n">
        <f aca="false">Supuestos!$C$51*Supuestos!$C$87/Supuestos!$C$88*(1+Supuestos!$C$39)^(F6-1)</f>
        <v>125000</v>
      </c>
      <c r="G89" s="43" t="n">
        <f aca="false">Supuestos!$C$51*Supuestos!$C$87/Supuestos!$C$88*(1+Supuestos!$C$39)^(G6-1)</f>
        <v>125000</v>
      </c>
      <c r="H89" s="43" t="n">
        <f aca="false">Supuestos!$C$51*Supuestos!$C$87/Supuestos!$C$88*(1+Supuestos!$C$39)^(H6-1)</f>
        <v>125000</v>
      </c>
      <c r="I89" s="43" t="n">
        <f aca="false">Supuestos!$C$51*Supuestos!$C$87/Supuestos!$C$88*(1+Supuestos!$C$39)^(I6-1)</f>
        <v>125000</v>
      </c>
      <c r="J89" s="43" t="n">
        <f aca="false">Supuestos!$C$51*Supuestos!$C$87/Supuestos!$C$88*(1+Supuestos!$C$39)^(J6-1)</f>
        <v>125000</v>
      </c>
      <c r="K89" s="43" t="n">
        <f aca="false">Supuestos!$C$51*Supuestos!$C$87/Supuestos!$C$88*(1+Supuestos!$C$39)^(K6-1)</f>
        <v>125000</v>
      </c>
      <c r="L89" s="43" t="n">
        <f aca="false">Supuestos!$C$51*Supuestos!$C$87/Supuestos!$C$88*(1+Supuestos!$C$39)^(L6-1)</f>
        <v>125000</v>
      </c>
      <c r="M89" s="43" t="n">
        <f aca="false">Supuestos!$C$51*Supuestos!$C$87/Supuestos!$C$88*(1+Supuestos!$C$39)^(M6-1)</f>
        <v>125000</v>
      </c>
      <c r="N89" s="43" t="n">
        <f aca="false">Supuestos!$C$51*Supuestos!$C$87/Supuestos!$C$88*(1+Supuestos!$C$39)^(N6-1)</f>
        <v>125000</v>
      </c>
      <c r="O89" s="43" t="n">
        <f aca="false">Supuestos!$C$51*Supuestos!$C$87/Supuestos!$C$88*(1+Supuestos!$C$39)^(O6-1)</f>
        <v>131250</v>
      </c>
      <c r="P89" s="43" t="n">
        <f aca="false">Supuestos!$C$51*Supuestos!$C$87/Supuestos!$C$88*(1+Supuestos!$C$39)^(P6-1)</f>
        <v>131250</v>
      </c>
      <c r="Q89" s="43" t="n">
        <f aca="false">Supuestos!$C$51*Supuestos!$C$87/Supuestos!$C$88*(1+Supuestos!$C$39)^(Q6-1)</f>
        <v>131250</v>
      </c>
      <c r="R89" s="43" t="n">
        <f aca="false">Supuestos!$C$51*Supuestos!$C$87/Supuestos!$C$88*(1+Supuestos!$C$39)^(R6-1)</f>
        <v>131250</v>
      </c>
      <c r="S89" s="43" t="n">
        <f aca="false">Supuestos!$C$51*Supuestos!$C$87/Supuestos!$C$88*(1+Supuestos!$C$39)^(S6-1)</f>
        <v>131250</v>
      </c>
      <c r="T89" s="43" t="n">
        <f aca="false">Supuestos!$C$51*Supuestos!$C$87/Supuestos!$C$88*(1+Supuestos!$C$39)^(T6-1)</f>
        <v>131250</v>
      </c>
      <c r="U89" s="43" t="n">
        <f aca="false">Supuestos!$C$51*Supuestos!$C$87/Supuestos!$C$88*(1+Supuestos!$C$39)^(U6-1)</f>
        <v>131250</v>
      </c>
      <c r="V89" s="43" t="n">
        <f aca="false">Supuestos!$C$51*Supuestos!$C$87/Supuestos!$C$88*(1+Supuestos!$C$39)^(V6-1)</f>
        <v>131250</v>
      </c>
      <c r="W89" s="43" t="n">
        <f aca="false">Supuestos!$C$51*Supuestos!$C$87/Supuestos!$C$88*(1+Supuestos!$C$39)^(W6-1)</f>
        <v>131250</v>
      </c>
      <c r="X89" s="43" t="n">
        <f aca="false">Supuestos!$C$51*Supuestos!$C$87/Supuestos!$C$88*(1+Supuestos!$C$39)^(X6-1)</f>
        <v>131250</v>
      </c>
      <c r="Y89" s="43" t="n">
        <f aca="false">Supuestos!$C$51*Supuestos!$C$87/Supuestos!$C$88*(1+Supuestos!$C$39)^(Y6-1)</f>
        <v>131250</v>
      </c>
      <c r="Z89" s="43" t="n">
        <f aca="false">Supuestos!$C$51*Supuestos!$C$87/Supuestos!$C$88*(1+Supuestos!$C$39)^(Z6-1)</f>
        <v>131250</v>
      </c>
      <c r="AA89" s="43" t="n">
        <f aca="false">Supuestos!$C$51*Supuestos!$C$87/Supuestos!$C$88*(1+Supuestos!$C$39)^(AA6-1)</f>
        <v>137812.5</v>
      </c>
      <c r="AB89" s="43" t="n">
        <f aca="false">Supuestos!$C$51*Supuestos!$C$87/Supuestos!$C$88*(1+Supuestos!$C$39)^(AB6-1)</f>
        <v>137812.5</v>
      </c>
      <c r="AC89" s="43" t="n">
        <f aca="false">Supuestos!$C$51*Supuestos!$C$87/Supuestos!$C$88*(1+Supuestos!$C$39)^(AC6-1)</f>
        <v>137812.5</v>
      </c>
      <c r="AD89" s="43" t="n">
        <f aca="false">Supuestos!$C$51*Supuestos!$C$87/Supuestos!$C$88*(1+Supuestos!$C$39)^(AD6-1)</f>
        <v>137812.5</v>
      </c>
      <c r="AE89" s="43" t="n">
        <f aca="false">Supuestos!$C$51*Supuestos!$C$87/Supuestos!$C$88*(1+Supuestos!$C$39)^(AE6-1)</f>
        <v>137812.5</v>
      </c>
      <c r="AF89" s="43" t="n">
        <f aca="false">Supuestos!$C$51*Supuestos!$C$87/Supuestos!$C$88*(1+Supuestos!$C$39)^(AF6-1)</f>
        <v>137812.5</v>
      </c>
      <c r="AG89" s="43" t="n">
        <f aca="false">Supuestos!$C$51*Supuestos!$C$87/Supuestos!$C$88*(1+Supuestos!$C$39)^(AG6-1)</f>
        <v>137812.5</v>
      </c>
      <c r="AH89" s="43" t="n">
        <f aca="false">Supuestos!$C$51*Supuestos!$C$87/Supuestos!$C$88*(1+Supuestos!$C$39)^(AH6-1)</f>
        <v>137812.5</v>
      </c>
      <c r="AI89" s="43" t="n">
        <f aca="false">Supuestos!$C$51*Supuestos!$C$87/Supuestos!$C$88*(1+Supuestos!$C$39)^(AI6-1)</f>
        <v>137812.5</v>
      </c>
      <c r="AJ89" s="43" t="n">
        <f aca="false">Supuestos!$C$51*Supuestos!$C$87/Supuestos!$C$88*(1+Supuestos!$C$39)^(AJ6-1)</f>
        <v>137812.5</v>
      </c>
      <c r="AK89" s="43" t="n">
        <f aca="false">Supuestos!$C$51*Supuestos!$C$87/Supuestos!$C$88*(1+Supuestos!$C$39)^(AK6-1)</f>
        <v>137812.5</v>
      </c>
      <c r="AL89" s="43" t="n">
        <f aca="false">Supuestos!$C$51*Supuestos!$C$87/Supuestos!$C$88*(1+Supuestos!$C$39)^(AL6-1)</f>
        <v>137812.5</v>
      </c>
      <c r="AM89" s="43" t="n">
        <f aca="false">Supuestos!$C$51*Supuestos!$C$87/Supuestos!$C$88*(1+Supuestos!$C$39)^(AM6-1)</f>
        <v>144703.125</v>
      </c>
      <c r="AN89" s="43" t="n">
        <f aca="false">Supuestos!$C$51*Supuestos!$C$87/Supuestos!$C$88*(1+Supuestos!$C$39)^(AN6-1)</f>
        <v>144703.125</v>
      </c>
      <c r="AO89" s="43" t="n">
        <f aca="false">Supuestos!$C$51*Supuestos!$C$87/Supuestos!$C$88*(1+Supuestos!$C$39)^(AO6-1)</f>
        <v>144703.125</v>
      </c>
      <c r="AP89" s="43" t="n">
        <f aca="false">Supuestos!$C$51*Supuestos!$C$87/Supuestos!$C$88*(1+Supuestos!$C$39)^(AP6-1)</f>
        <v>144703.125</v>
      </c>
      <c r="AQ89" s="43" t="n">
        <f aca="false">Supuestos!$C$51*Supuestos!$C$87/Supuestos!$C$88*(1+Supuestos!$C$39)^(AQ6-1)</f>
        <v>144703.125</v>
      </c>
      <c r="AR89" s="43" t="n">
        <f aca="false">Supuestos!$C$51*Supuestos!$C$87/Supuestos!$C$88*(1+Supuestos!$C$39)^(AR6-1)</f>
        <v>144703.125</v>
      </c>
      <c r="AS89" s="43" t="n">
        <f aca="false">Supuestos!$C$51*Supuestos!$C$87/Supuestos!$C$88*(1+Supuestos!$C$39)^(AS6-1)</f>
        <v>144703.125</v>
      </c>
      <c r="AT89" s="43" t="n">
        <f aca="false">Supuestos!$C$51*Supuestos!$C$87/Supuestos!$C$88*(1+Supuestos!$C$39)^(AT6-1)</f>
        <v>144703.125</v>
      </c>
      <c r="AU89" s="43" t="n">
        <f aca="false">Supuestos!$C$51*Supuestos!$C$87/Supuestos!$C$88*(1+Supuestos!$C$39)^(AU6-1)</f>
        <v>144703.125</v>
      </c>
      <c r="AV89" s="43" t="n">
        <f aca="false">Supuestos!$C$51*Supuestos!$C$87/Supuestos!$C$88*(1+Supuestos!$C$39)^(AV6-1)</f>
        <v>144703.125</v>
      </c>
      <c r="AW89" s="43" t="n">
        <f aca="false">Supuestos!$C$51*Supuestos!$C$87/Supuestos!$C$88*(1+Supuestos!$C$39)^(AW6-1)</f>
        <v>144703.125</v>
      </c>
      <c r="AX89" s="43" t="n">
        <f aca="false">Supuestos!$C$51*Supuestos!$C$87/Supuestos!$C$88*(1+Supuestos!$C$39)^(AX6-1)</f>
        <v>144703.125</v>
      </c>
      <c r="AY89" s="43" t="n">
        <f aca="false">Supuestos!$C$51*Supuestos!$C$87/Supuestos!$C$88*(1+Supuestos!$C$39)^(AY6-1)</f>
        <v>151938.28125</v>
      </c>
      <c r="AZ89" s="43" t="n">
        <f aca="false">Supuestos!$C$51*Supuestos!$C$87/Supuestos!$C$88*(1+Supuestos!$C$39)^(AZ6-1)</f>
        <v>151938.28125</v>
      </c>
      <c r="BA89" s="43" t="n">
        <f aca="false">Supuestos!$C$51*Supuestos!$C$87/Supuestos!$C$88*(1+Supuestos!$C$39)^(BA6-1)</f>
        <v>151938.28125</v>
      </c>
      <c r="BB89" s="43" t="n">
        <f aca="false">Supuestos!$C$51*Supuestos!$C$87/Supuestos!$C$88*(1+Supuestos!$C$39)^(BB6-1)</f>
        <v>151938.28125</v>
      </c>
      <c r="BC89" s="43" t="n">
        <f aca="false">Supuestos!$C$51*Supuestos!$C$87/Supuestos!$C$88*(1+Supuestos!$C$39)^(BC6-1)</f>
        <v>151938.28125</v>
      </c>
      <c r="BD89" s="43" t="n">
        <f aca="false">Supuestos!$C$51*Supuestos!$C$87/Supuestos!$C$88*(1+Supuestos!$C$39)^(BD6-1)</f>
        <v>151938.28125</v>
      </c>
      <c r="BE89" s="43" t="n">
        <f aca="false">Supuestos!$C$51*Supuestos!$C$87/Supuestos!$C$88*(1+Supuestos!$C$39)^(BE6-1)</f>
        <v>151938.28125</v>
      </c>
      <c r="BF89" s="43" t="n">
        <f aca="false">Supuestos!$C$51*Supuestos!$C$87/Supuestos!$C$88*(1+Supuestos!$C$39)^(BF6-1)</f>
        <v>151938.28125</v>
      </c>
      <c r="BG89" s="43" t="n">
        <f aca="false">Supuestos!$C$51*Supuestos!$C$87/Supuestos!$C$88*(1+Supuestos!$C$39)^(BG6-1)</f>
        <v>151938.28125</v>
      </c>
      <c r="BH89" s="43" t="n">
        <f aca="false">Supuestos!$C$51*Supuestos!$C$87/Supuestos!$C$88*(1+Supuestos!$C$39)^(BH6-1)</f>
        <v>151938.28125</v>
      </c>
      <c r="BI89" s="43" t="n">
        <f aca="false">Supuestos!$C$51*Supuestos!$C$87/Supuestos!$C$88*(1+Supuestos!$C$39)^(BI6-1)</f>
        <v>151938.28125</v>
      </c>
      <c r="BJ89" s="43" t="n">
        <f aca="false">Supuestos!$C$51*Supuestos!$C$87/Supuestos!$C$88*(1+Supuestos!$C$39)^(BJ6-1)</f>
        <v>151938.28125</v>
      </c>
    </row>
    <row r="90" customFormat="false" ht="15" hidden="false" customHeight="false" outlineLevel="0" collapsed="false">
      <c r="A90" s="10" t="s">
        <v>283</v>
      </c>
      <c r="B90" s="7" t="s">
        <v>146</v>
      </c>
      <c r="C90" s="43" t="n">
        <f aca="false">MAX(0,C32)*Supuestos!$C$87*(1+Supuestos!$C$39)^(C6-1)</f>
        <v>0</v>
      </c>
      <c r="D90" s="43" t="n">
        <f aca="false">MAX(0,D32-MAX($C$32:C32))*Supuestos!$C$87*(1+Supuestos!$C$39)^(D6-1)</f>
        <v>0</v>
      </c>
      <c r="E90" s="43" t="n">
        <f aca="false">MAX(0,E32-MAX($C$32:D32))*Supuestos!$C$87*(1+Supuestos!$C$39)^(E6-1)</f>
        <v>0</v>
      </c>
      <c r="F90" s="43" t="n">
        <f aca="false">MAX(0,F32-MAX($C$32:E32))*Supuestos!$C$87*(1+Supuestos!$C$39)^(F6-1)</f>
        <v>0</v>
      </c>
      <c r="G90" s="43" t="n">
        <f aca="false">MAX(0,G32-MAX($C$32:F32))*Supuestos!$C$87*(1+Supuestos!$C$39)^(G6-1)</f>
        <v>0</v>
      </c>
      <c r="H90" s="43" t="n">
        <f aca="false">MAX(0,H32-MAX($C$32:G32))*Supuestos!$C$87*(1+Supuestos!$C$39)^(H6-1)</f>
        <v>0</v>
      </c>
      <c r="I90" s="43" t="n">
        <f aca="false">MAX(0,I32-MAX($C$32:H32))*Supuestos!$C$87*(1+Supuestos!$C$39)^(I6-1)</f>
        <v>0</v>
      </c>
      <c r="J90" s="43" t="n">
        <f aca="false">MAX(0,J32-MAX($C$32:I32))*Supuestos!$C$87*(1+Supuestos!$C$39)^(J6-1)</f>
        <v>0</v>
      </c>
      <c r="K90" s="43" t="n">
        <f aca="false">MAX(0,K32-MAX($C$32:J32))*Supuestos!$C$87*(1+Supuestos!$C$39)^(K6-1)</f>
        <v>0</v>
      </c>
      <c r="L90" s="43" t="n">
        <f aca="false">MAX(0,L32-MAX($C$32:K32))*Supuestos!$C$87*(1+Supuestos!$C$39)^(L6-1)</f>
        <v>0</v>
      </c>
      <c r="M90" s="43" t="n">
        <f aca="false">MAX(0,M32-MAX($C$32:L32))*Supuestos!$C$87*(1+Supuestos!$C$39)^(M6-1)</f>
        <v>0</v>
      </c>
      <c r="N90" s="43" t="n">
        <f aca="false">MAX(0,N32-MAX($C$32:M32))*Supuestos!$C$87*(1+Supuestos!$C$39)^(N6-1)</f>
        <v>0</v>
      </c>
      <c r="O90" s="43" t="n">
        <f aca="false">MAX(0,O32-MAX($C$32:N32))*Supuestos!$C$87*(1+Supuestos!$C$39)^(O6-1)</f>
        <v>0</v>
      </c>
      <c r="P90" s="43" t="n">
        <f aca="false">MAX(0,P32-MAX($C$32:O32))*Supuestos!$C$87*(1+Supuestos!$C$39)^(P6-1)</f>
        <v>0</v>
      </c>
      <c r="Q90" s="43" t="n">
        <f aca="false">MAX(0,Q32-MAX($C$32:P32))*Supuestos!$C$87*(1+Supuestos!$C$39)^(Q6-1)</f>
        <v>0</v>
      </c>
      <c r="R90" s="43" t="n">
        <f aca="false">MAX(0,R32-MAX($C$32:Q32))*Supuestos!$C$87*(1+Supuestos!$C$39)^(R6-1)</f>
        <v>0</v>
      </c>
      <c r="S90" s="43" t="n">
        <f aca="false">MAX(0,S32-MAX($C$32:R32))*Supuestos!$C$87*(1+Supuestos!$C$39)^(S6-1)</f>
        <v>0</v>
      </c>
      <c r="T90" s="43" t="n">
        <f aca="false">MAX(0,T32-MAX($C$32:S32))*Supuestos!$C$87*(1+Supuestos!$C$39)^(T6-1)</f>
        <v>0</v>
      </c>
      <c r="U90" s="43" t="n">
        <f aca="false">MAX(0,U32-MAX($C$32:T32))*Supuestos!$C$87*(1+Supuestos!$C$39)^(U6-1)</f>
        <v>0</v>
      </c>
      <c r="V90" s="43" t="n">
        <f aca="false">MAX(0,V32-MAX($C$32:U32))*Supuestos!$C$87*(1+Supuestos!$C$39)^(V6-1)</f>
        <v>0</v>
      </c>
      <c r="W90" s="43" t="n">
        <f aca="false">MAX(0,W32-MAX($C$32:V32))*Supuestos!$C$87*(1+Supuestos!$C$39)^(W6-1)</f>
        <v>2625000</v>
      </c>
      <c r="X90" s="43" t="n">
        <f aca="false">MAX(0,X32-MAX($C$32:W32))*Supuestos!$C$87*(1+Supuestos!$C$39)^(X6-1)</f>
        <v>0</v>
      </c>
      <c r="Y90" s="43" t="n">
        <f aca="false">MAX(0,Y32-MAX($C$32:X32))*Supuestos!$C$87*(1+Supuestos!$C$39)^(Y6-1)</f>
        <v>0</v>
      </c>
      <c r="Z90" s="43" t="n">
        <f aca="false">MAX(0,Z32-MAX($C$32:Y32))*Supuestos!$C$87*(1+Supuestos!$C$39)^(Z6-1)</f>
        <v>0</v>
      </c>
      <c r="AA90" s="43" t="n">
        <f aca="false">MAX(0,AA32-MAX($C$32:Z32))*Supuestos!$C$87*(1+Supuestos!$C$39)^(AA6-1)</f>
        <v>0</v>
      </c>
      <c r="AB90" s="43" t="n">
        <f aca="false">MAX(0,AB32-MAX($C$32:AA32))*Supuestos!$C$87*(1+Supuestos!$C$39)^(AB6-1)</f>
        <v>0</v>
      </c>
      <c r="AC90" s="43" t="n">
        <f aca="false">MAX(0,AC32-MAX($C$32:AB32))*Supuestos!$C$87*(1+Supuestos!$C$39)^(AC6-1)</f>
        <v>0</v>
      </c>
      <c r="AD90" s="43" t="n">
        <f aca="false">MAX(0,AD32-MAX($C$32:AC32))*Supuestos!$C$87*(1+Supuestos!$C$39)^(AD6-1)</f>
        <v>0</v>
      </c>
      <c r="AE90" s="43" t="n">
        <f aca="false">MAX(0,AE32-MAX($C$32:AD32))*Supuestos!$C$87*(1+Supuestos!$C$39)^(AE6-1)</f>
        <v>0</v>
      </c>
      <c r="AF90" s="43" t="n">
        <f aca="false">MAX(0,AF32-MAX($C$32:AE32))*Supuestos!$C$87*(1+Supuestos!$C$39)^(AF6-1)</f>
        <v>0</v>
      </c>
      <c r="AG90" s="43" t="n">
        <f aca="false">MAX(0,AG32-MAX($C$32:AF32))*Supuestos!$C$87*(1+Supuestos!$C$39)^(AG6-1)</f>
        <v>0</v>
      </c>
      <c r="AH90" s="43" t="n">
        <f aca="false">MAX(0,AH32-MAX($C$32:AG32))*Supuestos!$C$87*(1+Supuestos!$C$39)^(AH6-1)</f>
        <v>0</v>
      </c>
      <c r="AI90" s="43" t="n">
        <f aca="false">MAX(0,AI32-MAX($C$32:AH32))*Supuestos!$C$87*(1+Supuestos!$C$39)^(AI6-1)</f>
        <v>0</v>
      </c>
      <c r="AJ90" s="43" t="n">
        <f aca="false">MAX(0,AJ32-MAX($C$32:AI32))*Supuestos!$C$87*(1+Supuestos!$C$39)^(AJ6-1)</f>
        <v>0</v>
      </c>
      <c r="AK90" s="43" t="n">
        <f aca="false">MAX(0,AK32-MAX($C$32:AJ32))*Supuestos!$C$87*(1+Supuestos!$C$39)^(AK6-1)</f>
        <v>2756250</v>
      </c>
      <c r="AL90" s="43" t="n">
        <f aca="false">MAX(0,AL32-MAX($C$32:AK32))*Supuestos!$C$87*(1+Supuestos!$C$39)^(AL6-1)</f>
        <v>0</v>
      </c>
      <c r="AM90" s="43" t="n">
        <f aca="false">MAX(0,AM32-MAX($C$32:AL32))*Supuestos!$C$87*(1+Supuestos!$C$39)^(AM6-1)</f>
        <v>0</v>
      </c>
      <c r="AN90" s="43" t="n">
        <f aca="false">MAX(0,AN32-MAX($C$32:AM32))*Supuestos!$C$87*(1+Supuestos!$C$39)^(AN6-1)</f>
        <v>0</v>
      </c>
      <c r="AO90" s="43" t="n">
        <f aca="false">MAX(0,AO32-MAX($C$32:AN32))*Supuestos!$C$87*(1+Supuestos!$C$39)^(AO6-1)</f>
        <v>0</v>
      </c>
      <c r="AP90" s="43" t="n">
        <f aca="false">MAX(0,AP32-MAX($C$32:AO32))*Supuestos!$C$87*(1+Supuestos!$C$39)^(AP6-1)</f>
        <v>0</v>
      </c>
      <c r="AQ90" s="43" t="n">
        <f aca="false">MAX(0,AQ32-MAX($C$32:AP32))*Supuestos!$C$87*(1+Supuestos!$C$39)^(AQ6-1)</f>
        <v>0</v>
      </c>
      <c r="AR90" s="43" t="n">
        <f aca="false">MAX(0,AR32-MAX($C$32:AQ32))*Supuestos!$C$87*(1+Supuestos!$C$39)^(AR6-1)</f>
        <v>0</v>
      </c>
      <c r="AS90" s="43" t="n">
        <f aca="false">MAX(0,AS32-MAX($C$32:AR32))*Supuestos!$C$87*(1+Supuestos!$C$39)^(AS6-1)</f>
        <v>0</v>
      </c>
      <c r="AT90" s="43" t="n">
        <f aca="false">MAX(0,AT32-MAX($C$32:AS32))*Supuestos!$C$87*(1+Supuestos!$C$39)^(AT6-1)</f>
        <v>0</v>
      </c>
      <c r="AU90" s="43" t="n">
        <f aca="false">MAX(0,AU32-MAX($C$32:AT32))*Supuestos!$C$87*(1+Supuestos!$C$39)^(AU6-1)</f>
        <v>2894062.5</v>
      </c>
      <c r="AV90" s="43" t="n">
        <f aca="false">MAX(0,AV32-MAX($C$32:AU32))*Supuestos!$C$87*(1+Supuestos!$C$39)^(AV6-1)</f>
        <v>0</v>
      </c>
      <c r="AW90" s="43" t="n">
        <f aca="false">MAX(0,AW32-MAX($C$32:AV32))*Supuestos!$C$87*(1+Supuestos!$C$39)^(AW6-1)</f>
        <v>0</v>
      </c>
      <c r="AX90" s="43" t="n">
        <f aca="false">MAX(0,AX32-MAX($C$32:AW32))*Supuestos!$C$87*(1+Supuestos!$C$39)^(AX6-1)</f>
        <v>0</v>
      </c>
      <c r="AY90" s="43" t="n">
        <f aca="false">MAX(0,AY32-MAX($C$32:AX32))*Supuestos!$C$87*(1+Supuestos!$C$39)^(AY6-1)</f>
        <v>0</v>
      </c>
      <c r="AZ90" s="43" t="n">
        <f aca="false">MAX(0,AZ32-MAX($C$32:AY32))*Supuestos!$C$87*(1+Supuestos!$C$39)^(AZ6-1)</f>
        <v>0</v>
      </c>
      <c r="BA90" s="43" t="n">
        <f aca="false">MAX(0,BA32-MAX($C$32:AZ32))*Supuestos!$C$87*(1+Supuestos!$C$39)^(BA6-1)</f>
        <v>0</v>
      </c>
      <c r="BB90" s="43" t="n">
        <f aca="false">MAX(0,BB32-MAX($C$32:BA32))*Supuestos!$C$87*(1+Supuestos!$C$39)^(BB6-1)</f>
        <v>0</v>
      </c>
      <c r="BC90" s="43" t="n">
        <f aca="false">MAX(0,BC32-MAX($C$32:BB32))*Supuestos!$C$87*(1+Supuestos!$C$39)^(BC6-1)</f>
        <v>0</v>
      </c>
      <c r="BD90" s="43" t="n">
        <f aca="false">MAX(0,BD32-MAX($C$32:BC32))*Supuestos!$C$87*(1+Supuestos!$C$39)^(BD6-1)</f>
        <v>3038765.625</v>
      </c>
      <c r="BE90" s="43" t="n">
        <f aca="false">MAX(0,BE32-MAX($C$32:BD32))*Supuestos!$C$87*(1+Supuestos!$C$39)^(BE6-1)</f>
        <v>0</v>
      </c>
      <c r="BF90" s="43" t="n">
        <f aca="false">MAX(0,BF32-MAX($C$32:BE32))*Supuestos!$C$87*(1+Supuestos!$C$39)^(BF6-1)</f>
        <v>0</v>
      </c>
      <c r="BG90" s="43" t="n">
        <f aca="false">MAX(0,BG32-MAX($C$32:BF32))*Supuestos!$C$87*(1+Supuestos!$C$39)^(BG6-1)</f>
        <v>0</v>
      </c>
      <c r="BH90" s="43" t="n">
        <f aca="false">MAX(0,BH32-MAX($C$32:BG32))*Supuestos!$C$87*(1+Supuestos!$C$39)^(BH6-1)</f>
        <v>0</v>
      </c>
      <c r="BI90" s="43" t="n">
        <f aca="false">MAX(0,BI32-MAX($C$32:BH32))*Supuestos!$C$87*(1+Supuestos!$C$39)^(BI6-1)</f>
        <v>0</v>
      </c>
      <c r="BJ90" s="43" t="n">
        <f aca="false">MAX(0,BJ32-MAX($C$32:BI32))*Supuestos!$C$87*(1+Supuestos!$C$39)^(BJ6-1)</f>
        <v>0</v>
      </c>
    </row>
    <row r="91" customFormat="false" ht="15" hidden="false" customHeight="false" outlineLevel="0" collapsed="false">
      <c r="A91" s="16" t="s">
        <v>284</v>
      </c>
      <c r="B91" s="7" t="s">
        <v>146</v>
      </c>
      <c r="C91" s="35" t="n">
        <f aca="false">SUM(C88:C90)</f>
        <v>170544.98</v>
      </c>
      <c r="D91" s="35" t="n">
        <f aca="false">SUM(D88:D90)</f>
        <v>170544.98</v>
      </c>
      <c r="E91" s="35" t="n">
        <f aca="false">SUM(E88:E90)</f>
        <v>170544.98</v>
      </c>
      <c r="F91" s="35" t="n">
        <f aca="false">SUM(F88:F90)</f>
        <v>170544.98</v>
      </c>
      <c r="G91" s="35" t="n">
        <f aca="false">SUM(G88:G90)</f>
        <v>170544.98</v>
      </c>
      <c r="H91" s="35" t="n">
        <f aca="false">SUM(H88:H90)</f>
        <v>170544.98</v>
      </c>
      <c r="I91" s="35" t="n">
        <f aca="false">SUM(I88:I90)</f>
        <v>170544.98</v>
      </c>
      <c r="J91" s="35" t="n">
        <f aca="false">SUM(J88:J90)</f>
        <v>170544.98</v>
      </c>
      <c r="K91" s="35" t="n">
        <f aca="false">SUM(K88:K90)</f>
        <v>170544.98</v>
      </c>
      <c r="L91" s="35" t="n">
        <f aca="false">SUM(L88:L90)</f>
        <v>170544.98</v>
      </c>
      <c r="M91" s="35" t="n">
        <f aca="false">SUM(M88:M90)</f>
        <v>170544.98</v>
      </c>
      <c r="N91" s="35" t="n">
        <f aca="false">SUM(N88:N90)</f>
        <v>170544.98</v>
      </c>
      <c r="O91" s="35" t="n">
        <f aca="false">SUM(O88:O90)</f>
        <v>202983.3435</v>
      </c>
      <c r="P91" s="35" t="n">
        <f aca="false">SUM(P88:P90)</f>
        <v>202983.3435</v>
      </c>
      <c r="Q91" s="35" t="n">
        <f aca="false">SUM(Q88:Q90)</f>
        <v>202983.3435</v>
      </c>
      <c r="R91" s="35" t="n">
        <f aca="false">SUM(R88:R90)</f>
        <v>202983.3435</v>
      </c>
      <c r="S91" s="35" t="n">
        <f aca="false">SUM(S88:S90)</f>
        <v>202983.3435</v>
      </c>
      <c r="T91" s="35" t="n">
        <f aca="false">SUM(T88:T90)</f>
        <v>202983.3435</v>
      </c>
      <c r="U91" s="35" t="n">
        <f aca="false">SUM(U88:U90)</f>
        <v>202983.3435</v>
      </c>
      <c r="V91" s="35" t="n">
        <f aca="false">SUM(V88:V90)</f>
        <v>202983.3435</v>
      </c>
      <c r="W91" s="35" t="n">
        <f aca="false">SUM(W88:W90)</f>
        <v>2827983.3435</v>
      </c>
      <c r="X91" s="35" t="n">
        <f aca="false">SUM(X88:X90)</f>
        <v>202983.3435</v>
      </c>
      <c r="Y91" s="35" t="n">
        <f aca="false">SUM(Y88:Y90)</f>
        <v>202983.3435</v>
      </c>
      <c r="Z91" s="35" t="n">
        <f aca="false">SUM(Z88:Z90)</f>
        <v>202983.3435</v>
      </c>
      <c r="AA91" s="35" t="n">
        <f aca="false">SUM(AA88:AA90)</f>
        <v>137812.5</v>
      </c>
      <c r="AB91" s="35" t="n">
        <f aca="false">SUM(AB88:AB90)</f>
        <v>137812.5</v>
      </c>
      <c r="AC91" s="35" t="n">
        <f aca="false">SUM(AC88:AC90)</f>
        <v>137812.5</v>
      </c>
      <c r="AD91" s="35" t="n">
        <f aca="false">SUM(AD88:AD90)</f>
        <v>137812.5</v>
      </c>
      <c r="AE91" s="35" t="n">
        <f aca="false">SUM(AE88:AE90)</f>
        <v>137812.5</v>
      </c>
      <c r="AF91" s="35" t="n">
        <f aca="false">SUM(AF88:AF90)</f>
        <v>137812.5</v>
      </c>
      <c r="AG91" s="35" t="n">
        <f aca="false">SUM(AG88:AG90)</f>
        <v>137812.5</v>
      </c>
      <c r="AH91" s="35" t="n">
        <f aca="false">SUM(AH88:AH90)</f>
        <v>137812.5</v>
      </c>
      <c r="AI91" s="35" t="n">
        <f aca="false">SUM(AI88:AI90)</f>
        <v>137812.5</v>
      </c>
      <c r="AJ91" s="35" t="n">
        <f aca="false">SUM(AJ88:AJ90)</f>
        <v>137812.5</v>
      </c>
      <c r="AK91" s="35" t="n">
        <f aca="false">SUM(AK88:AK90)</f>
        <v>2894062.5</v>
      </c>
      <c r="AL91" s="35" t="n">
        <f aca="false">SUM(AL88:AL90)</f>
        <v>137812.5</v>
      </c>
      <c r="AM91" s="35" t="n">
        <f aca="false">SUM(AM88:AM90)</f>
        <v>144703.125</v>
      </c>
      <c r="AN91" s="35" t="n">
        <f aca="false">SUM(AN88:AN90)</f>
        <v>144703.125</v>
      </c>
      <c r="AO91" s="35" t="n">
        <f aca="false">SUM(AO88:AO90)</f>
        <v>144703.125</v>
      </c>
      <c r="AP91" s="35" t="n">
        <f aca="false">SUM(AP88:AP90)</f>
        <v>144703.125</v>
      </c>
      <c r="AQ91" s="35" t="n">
        <f aca="false">SUM(AQ88:AQ90)</f>
        <v>144703.125</v>
      </c>
      <c r="AR91" s="35" t="n">
        <f aca="false">SUM(AR88:AR90)</f>
        <v>144703.125</v>
      </c>
      <c r="AS91" s="35" t="n">
        <f aca="false">SUM(AS88:AS90)</f>
        <v>144703.125</v>
      </c>
      <c r="AT91" s="35" t="n">
        <f aca="false">SUM(AT88:AT90)</f>
        <v>144703.125</v>
      </c>
      <c r="AU91" s="35" t="n">
        <f aca="false">SUM(AU88:AU90)</f>
        <v>3038765.625</v>
      </c>
      <c r="AV91" s="35" t="n">
        <f aca="false">SUM(AV88:AV90)</f>
        <v>144703.125</v>
      </c>
      <c r="AW91" s="35" t="n">
        <f aca="false">SUM(AW88:AW90)</f>
        <v>144703.125</v>
      </c>
      <c r="AX91" s="35" t="n">
        <f aca="false">SUM(AX88:AX90)</f>
        <v>144703.125</v>
      </c>
      <c r="AY91" s="35" t="n">
        <f aca="false">SUM(AY88:AY90)</f>
        <v>151938.28125</v>
      </c>
      <c r="AZ91" s="35" t="n">
        <f aca="false">SUM(AZ88:AZ90)</f>
        <v>151938.28125</v>
      </c>
      <c r="BA91" s="35" t="n">
        <f aca="false">SUM(BA88:BA90)</f>
        <v>151938.28125</v>
      </c>
      <c r="BB91" s="35" t="n">
        <f aca="false">SUM(BB88:BB90)</f>
        <v>151938.28125</v>
      </c>
      <c r="BC91" s="35" t="n">
        <f aca="false">SUM(BC88:BC90)</f>
        <v>151938.28125</v>
      </c>
      <c r="BD91" s="35" t="n">
        <f aca="false">SUM(BD88:BD90)</f>
        <v>3190703.90625</v>
      </c>
      <c r="BE91" s="35" t="n">
        <f aca="false">SUM(BE88:BE90)</f>
        <v>151938.28125</v>
      </c>
      <c r="BF91" s="35" t="n">
        <f aca="false">SUM(BF88:BF90)</f>
        <v>151938.28125</v>
      </c>
      <c r="BG91" s="35" t="n">
        <f aca="false">SUM(BG88:BG90)</f>
        <v>151938.28125</v>
      </c>
      <c r="BH91" s="35" t="n">
        <f aca="false">SUM(BH88:BH90)</f>
        <v>151938.28125</v>
      </c>
      <c r="BI91" s="35" t="n">
        <f aca="false">SUM(BI88:BI90)</f>
        <v>151938.28125</v>
      </c>
      <c r="BJ91" s="35" t="n">
        <f aca="false">SUM(BJ88:BJ90)</f>
        <v>151938.28125</v>
      </c>
    </row>
    <row r="93" customFormat="false" ht="15" hidden="false" customHeight="false" outlineLevel="0" collapsed="false">
      <c r="A93" s="10" t="s">
        <v>285</v>
      </c>
      <c r="C93" s="41" t="n">
        <f aca="false">SUMIF($C$6:$BJ$6,1,$C$91:$BJ$91)/1000000</f>
        <v>2.04653976</v>
      </c>
      <c r="D93" s="41" t="n">
        <f aca="false">SUMIF($C$6:$BJ$6,2,$C$91:$BJ$91)/1000000</f>
        <v>5.060800122</v>
      </c>
      <c r="E93" s="41" t="n">
        <f aca="false">SUMIF($C$6:$BJ$6,3,$C$91:$BJ$91)/1000000</f>
        <v>4.41</v>
      </c>
      <c r="F93" s="41" t="n">
        <f aca="false">SUMIF($C$6:$BJ$6,4,$C$91:$BJ$91)/1000000</f>
        <v>4.6305</v>
      </c>
      <c r="G93" s="41" t="n">
        <f aca="false">SUMIF($C$6:$BJ$6,5,$C$91:$BJ$91)/1000000</f>
        <v>4.862025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2026-09-25T21:32:41Z</dcterms:created>
  <dc:creator>openpyxl</dc:creator>
  <dc:description/>
  <dc:language>en-US</dc:language>
  <cp:lastModifiedBy/>
  <dcterms:modified xsi:type="dcterms:W3CDTF">2026-09-27T17:11:21Z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