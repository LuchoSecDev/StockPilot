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  <row r="25" ht="15" customHeight="1" s="33">
      <c r="E25" s="40" t="inlineStr">
        <is>
          <t>23</t>
        </is>
      </c>
      <c r="F25" s="38" t="inlineStr">
        <is>
          <t>IA con valor, medida y con privacidad</t>
        </is>
      </c>
      <c r="G25" s="38">
        <f>COUNTIFS(Pendientes!$B$5:$B$308,E25,Pendientes!$F$5:$F$308,"&lt;&gt;Terminado",Pendientes!$F$5:$F$308,"&lt;&gt;Descartado")-COUNTIFS(Pendientes!$B$5:$B$308,E25,Pendientes!$F$5:$F$308,"")</f>
        <v/>
      </c>
      <c r="H25" s="38">
        <f>COUNTIFS(Pendientes!$B$5:$B$308,E25,Pendientes!$F$5:$F$308,"Terminado")</f>
        <v/>
      </c>
      <c r="I25" s="38">
        <f>COUNTIFS(Pendientes!$B$5:$B$308,E25,Pendientes!$F$5:$F$308,"Descartado")</f>
        <v/>
      </c>
      <c r="J25" s="38">
        <f>COUNTIF(Pendientes!$B$5:$B$308,E25)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17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Ya no se resuelve con los datos del piloto: el modo básico no muestra la IA y el piloto no la evalúa (plan 23). Con el evaluador corregido (P23-01) se podrá medir en el modo avanzado.</t>
        </is>
      </c>
      <c r="J39" s="51" t="n"/>
      <c r="K39" s="53" t="n">
        <v>46301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En progreso</t>
        </is>
      </c>
      <c r="G63" s="51" t="inlineStr">
        <is>
          <t>Alta</t>
        </is>
      </c>
      <c r="H63" s="51" t="inlineStr">
        <is>
          <t>Plan 19, sección 3.4; rama feat/modo-basico-web (subida al remoto, commits ce91ec7, e2e238a, 6aa9be3).</t>
        </is>
      </c>
      <c r="I63" s="51" t="inlineStr">
        <is>
          <t>Fases A, B y C implementadas y verificadas (pruebas, mutaciones y navegador). Falta: mezclar a main (la migración de modo_interfaz corre sola al desplegar), probar en celular y con un Administrador con 2FA.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No iniciado</t>
        </is>
      </c>
      <c r="G75" s="51" t="inlineStr">
        <is>
          <t>Alta</t>
        </is>
      </c>
      <c r="H75" s="51" t="inlineStr">
        <is>
          <t>Plan 21, sección 4.</t>
        </is>
      </c>
      <c r="I75" s="51" t="inlineStr">
        <is>
          <t>Después del piloto, salvo que la fecha del Sprint 6.3 lo exija antes.</t>
        </is>
      </c>
      <c r="J75" s="51" t="n"/>
      <c r="K75" s="53" t="n">
        <v>46292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n"/>
      <c r="J76" s="51" t="n"/>
      <c r="K76" s="53" t="n">
        <v>46292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n"/>
      <c r="J78" s="51" t="n"/>
      <c r="K78" s="53" t="n">
        <v>46292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</t>
        </is>
      </c>
      <c r="J88" s="51" t="n"/>
      <c r="K88" s="53" t="n">
        <v>46292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No iniciado</t>
        </is>
      </c>
      <c r="G91" s="51" t="inlineStr">
        <is>
          <t>Alta</t>
        </is>
      </c>
      <c r="H91" s="51" t="inlineStr">
        <is>
          <t>Plan 22, secciones 3.1 y 3.2.</t>
        </is>
      </c>
      <c r="I91" s="51" t="inlineStr">
        <is>
          <t>Antes del arranque del piloto (plan 22, sección 5, C.2).</t>
        </is>
      </c>
      <c r="J91" s="51" t="n"/>
      <c r="K91" s="53" t="n">
        <v>46293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No iniciado</t>
        </is>
      </c>
      <c r="G92" s="51" t="inlineStr">
        <is>
          <t>Alta</t>
        </is>
      </c>
      <c r="H92" s="51" t="inlineStr">
        <is>
          <t>Plan 22, secciones 3.3 y 3.5.</t>
        </is>
      </c>
      <c r="I92" s="51" t="inlineStr">
        <is>
          <t>Antes del arranque del piloto. Debe excluir las tiendas de prueba (P22-19).</t>
        </is>
      </c>
      <c r="J92" s="51" t="n"/>
      <c r="K92" s="53" t="n">
        <v>46293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No iniciado</t>
        </is>
      </c>
      <c r="G94" s="51" t="inlineStr">
        <is>
          <t>Media</t>
        </is>
      </c>
      <c r="H94" s="51" t="inlineStr">
        <is>
          <t>Plan 22, secciones 3.5 y 3.7; plan 19, 3.5.</t>
        </is>
      </c>
      <c r="I94" s="51" t="inlineStr">
        <is>
          <t>Antes del arranque del piloto.</t>
        </is>
      </c>
      <c r="J94" s="51" t="n"/>
      <c r="K94" s="53" t="n">
        <v>46301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No iniciado</t>
        </is>
      </c>
      <c r="G108" s="51" t="inlineStr">
        <is>
          <t>Alta</t>
        </is>
      </c>
      <c r="H108" s="51" t="inlineStr">
        <is>
          <t>Plan 22, sección 3.3.</t>
        </is>
      </c>
      <c r="I108" s="51" t="inlineStr">
        <is>
          <t>Antes del arranque del piloto, junto con I2.</t>
        </is>
      </c>
      <c r="J108" s="51" t="n"/>
      <c r="K108" s="53" t="n">
        <v>46293</v>
      </c>
      <c r="L108" s="54">
        <f>IF(K108="","",TODAY()-K108)</f>
        <v/>
      </c>
    </row>
    <row r="109" ht="23.85" customHeight="1" s="33">
      <c r="A109" s="51" t="inlineStr">
        <is>
          <t>P23-01</t>
        </is>
      </c>
      <c r="B109" s="52" t="inlineStr">
        <is>
          <t>23</t>
        </is>
      </c>
      <c r="C109" s="51" t="inlineStr">
        <is>
          <t>Evaluador</t>
        </is>
      </c>
      <c r="D109" s="51" t="inlineStr">
        <is>
          <t>El evaluador de Feedback_IA compara un número equivocado: sugerencia_ia guarda el % de ajuste de la IA y feedbackController.js:99 lo usa como cantidad. Corregirlo y decidir qué cantidad(es) se evalúan (propuesta: motor, IA ajustada y lo que pidió el dueño)</t>
        </is>
      </c>
      <c r="E109" s="51" t="inlineStr">
        <is>
          <t>Observación / defecto</t>
        </is>
      </c>
      <c r="F109" s="51" t="inlineStr">
        <is>
          <t>No iniciado</t>
        </is>
      </c>
      <c r="G109" s="51" t="inlineStr">
        <is>
          <t>Alta</t>
        </is>
      </c>
      <c r="H109" s="51" t="inlineStr">
        <is>
          <t>Plan 23, secciones 1 y 3.A. controllers/feedbackController.js:99; ordenBorradorController.js:102.</t>
        </is>
      </c>
      <c r="I109" s="51" t="inlineStr">
        <is>
          <t>Antes del arranque del piloto. Decisión 1 de Luis. Probablemente requiere migración (columnas nuevas en Feedback_IA). Cambia el factor que usan alertas y Proveedores.</t>
        </is>
      </c>
      <c r="J109" s="51" t="inlineStr">
        <is>
          <t>Luis</t>
        </is>
      </c>
      <c r="K109" s="53" t="n">
        <v>46301</v>
      </c>
      <c r="L109" s="54">
        <f>IF(K109="","",TODAY()-K109)</f>
        <v/>
      </c>
    </row>
    <row r="110" ht="23.85" customHeight="1" s="33">
      <c r="A110" s="51" t="inlineStr">
        <is>
          <t>P23-02</t>
        </is>
      </c>
      <c r="B110" s="52" t="inlineStr">
        <is>
          <t>23</t>
        </is>
      </c>
      <c r="C110" s="51" t="inlineStr">
        <is>
          <t>Medición</t>
        </is>
      </c>
      <c r="D110" s="51" t="inlineStr">
        <is>
          <t>Reporte comparativo: error del motor, de la IA y del dueño frente a las ventas reales, por tienda y producto</t>
        </is>
      </c>
      <c r="E110" s="51" t="inlineStr">
        <is>
          <t>Pendiente del plan</t>
        </is>
      </c>
      <c r="F110" s="51" t="inlineStr">
        <is>
          <t>No iniciado</t>
        </is>
      </c>
      <c r="G110" s="51" t="inlineStr">
        <is>
          <t>Media</t>
        </is>
      </c>
      <c r="H110" s="51" t="inlineStr">
        <is>
          <t>Plan 23, sección 3.A3.</t>
        </is>
      </c>
      <c r="I110" s="51" t="inlineStr">
        <is>
          <t>En rama durante el piloto. Depende de P23-01. Sirve también para el documento académico.</t>
        </is>
      </c>
      <c r="J110" s="51" t="n"/>
      <c r="K110" s="53" t="n">
        <v>46301</v>
      </c>
      <c r="L110" s="54">
        <f>IF(K110="","",TODAY()-K110)</f>
        <v/>
      </c>
    </row>
    <row r="111" ht="23.85" customHeight="1" s="33">
      <c r="A111" s="51" t="inlineStr">
        <is>
          <t>P23-03</t>
        </is>
      </c>
      <c r="B111" s="52" t="inlineStr">
        <is>
          <t>23</t>
        </is>
      </c>
      <c r="C111" s="51" t="inlineStr">
        <is>
          <t>Motor adaptativo</t>
        </is>
      </c>
      <c r="D111" s="51" t="inlineStr">
        <is>
          <t>Estadística sin IA: tiempo real de entrega por proveedor, variabilidad de la demanda, efecto del día de la semana o la quincena</t>
        </is>
      </c>
      <c r="E111" s="51" t="inlineStr">
        <is>
          <t>Pendiente del plan</t>
        </is>
      </c>
      <c r="F111" s="51" t="inlineStr">
        <is>
          <t>No iniciado</t>
        </is>
      </c>
      <c r="G111" s="51" t="inlineStr">
        <is>
          <t>Media</t>
        </is>
      </c>
      <c r="H111" s="51" t="inlineStr">
        <is>
          <t>Plan 23, sección 3.A4.</t>
        </is>
      </c>
      <c r="I111" s="51" t="inlineStr">
        <is>
          <t>Opcional. En rama durante el piloto. Es lo más honesto para decir que el motor «se adapta».</t>
        </is>
      </c>
      <c r="J111" s="51" t="n"/>
      <c r="K111" s="53" t="n">
        <v>46301</v>
      </c>
      <c r="L111" s="54">
        <f>IF(K111="","",TODAY()-K111)</f>
        <v/>
      </c>
    </row>
    <row r="112" ht="23.85" customHeight="1" s="33">
      <c r="A112" s="51" t="inlineStr">
        <is>
          <t>P23-04</t>
        </is>
      </c>
      <c r="B112" s="52" t="inlineStr">
        <is>
          <t>23</t>
        </is>
      </c>
      <c r="C112" s="51" t="inlineStr">
        <is>
          <t>IA</t>
        </is>
      </c>
      <c r="D112" s="51" t="inlineStr">
        <is>
          <t>Darle contexto real al ajuste de la IA (calendario, quincena, festivos, vencimientos) y registrar el contexto en Auditoria_IA</t>
        </is>
      </c>
      <c r="E112" s="51" t="inlineStr">
        <is>
          <t>Pendiente del plan</t>
        </is>
      </c>
      <c r="F112" s="51" t="inlineStr">
        <is>
          <t>No iniciado</t>
        </is>
      </c>
      <c r="G112" s="51" t="inlineStr">
        <is>
          <t>Media</t>
        </is>
      </c>
      <c r="H112" s="51" t="inlineStr">
        <is>
          <t>Plan 23, sección 3.B.</t>
        </is>
      </c>
      <c r="I112" s="51" t="inlineStr">
        <is>
          <t>Depende de P23-01 y P23-02: sin medición no se sabe si mejora algo.</t>
        </is>
      </c>
      <c r="J112" s="51" t="n"/>
      <c r="K112" s="53" t="n">
        <v>46301</v>
      </c>
      <c r="L112" s="54">
        <f>IF(K112="","",TODAY()-K112)</f>
        <v/>
      </c>
    </row>
    <row r="113" ht="23.85" customHeight="1" s="33">
      <c r="A113" s="51" t="inlineStr">
        <is>
          <t>P23-05</t>
        </is>
      </c>
      <c r="B113" s="52" t="inlineStr">
        <is>
          <t>23</t>
        </is>
      </c>
      <c r="C113" s="51" t="inlineStr">
        <is>
          <t>IA</t>
        </is>
      </c>
      <c r="D113" s="51" t="inlineStr">
        <is>
          <t>Leer fotos de facturas del proveedor para dar entrada a mercancía o alta de catálogo, mandando a la IA solo las líneas y sin guardar la imagen</t>
        </is>
      </c>
      <c r="E113" s="51" t="inlineStr">
        <is>
          <t>Pendiente del plan</t>
        </is>
      </c>
      <c r="F113" s="51" t="inlineStr">
        <is>
          <t>No iniciado</t>
        </is>
      </c>
      <c r="G113" s="51" t="inlineStr">
        <is>
          <t>Media</t>
        </is>
      </c>
      <c r="H113" s="51" t="inlineStr">
        <is>
          <t>Plan 23, sección 3.C.</t>
        </is>
      </c>
      <c r="I113" s="51" t="inlineStr">
        <is>
          <t>Es el frente más grande. Depende de P23-06 y P23-07 (privacidad). Nunca fotos del cuaderno de fiados.</t>
        </is>
      </c>
      <c r="J113" s="51" t="n"/>
      <c r="K113" s="53" t="n">
        <v>46301</v>
      </c>
      <c r="L113" s="54">
        <f>IF(K113="","",TODAY()-K113)</f>
        <v/>
      </c>
    </row>
    <row r="114" ht="23.85" customHeight="1" s="33">
      <c r="A114" s="51" t="inlineStr">
        <is>
          <t>P23-06</t>
        </is>
      </c>
      <c r="B114" s="52" t="inlineStr">
        <is>
          <t>23</t>
        </is>
      </c>
      <c r="C114" s="51" t="inlineStr">
        <is>
          <t>Privacidad</t>
        </is>
      </c>
      <c r="D114" s="51" t="inlineStr">
        <is>
          <t>El Consejero manda el nombre del proveedor y las promociones mandan el «motivo del dueño» (texto libre) a OpenAI; la política publicada dice que no se envían datos personales</t>
        </is>
      </c>
      <c r="E114" s="51" t="inlineStr">
        <is>
          <t>Observación / defecto</t>
        </is>
      </c>
      <c r="F114" s="51" t="inlineStr">
        <is>
          <t>No iniciado</t>
        </is>
      </c>
      <c r="G114" s="51" t="inlineStr">
        <is>
          <t>Alta</t>
        </is>
      </c>
      <c r="H114" s="51" t="inlineStr">
        <is>
          <t>Plan 23, sección 4. controllers/aiController.js (Consejero y getPromotionSuggestions).</t>
        </is>
      </c>
      <c r="I114" s="51" t="inlineStr">
        <is>
          <t>Antes del arranque del piloto. Mandar id o etiqueta genérica; ampliar tests/integration/ia_privacidad.test.js. Decisión 3 de Luis.</t>
        </is>
      </c>
      <c r="J114" s="51" t="inlineStr">
        <is>
          <t>Luis</t>
        </is>
      </c>
      <c r="K114" s="53" t="n">
        <v>46301</v>
      </c>
      <c r="L114" s="54">
        <f>IF(K114="","",TODAY()-K114)</f>
        <v/>
      </c>
    </row>
    <row r="115" ht="23.85" customHeight="1" s="33">
      <c r="A115" s="51" t="inlineStr">
        <is>
          <t>P23-07</t>
        </is>
      </c>
      <c r="B115" s="52" t="inlineStr">
        <is>
          <t>23</t>
        </is>
      </c>
      <c r="C115" s="51" t="inlineStr">
        <is>
          <t>Privacidad</t>
        </is>
      </c>
      <c r="D115" s="51" t="inlineStr">
        <is>
          <t>Revisión jurídica de lo que se envía a OpenAI (responsable/encargado, transmisión internacional, registro ante la SIC, términos de OpenAI) y reescritura de la política de datos</t>
        </is>
      </c>
      <c r="E115" s="51" t="inlineStr">
        <is>
          <t>Decisión pendiente</t>
        </is>
      </c>
      <c r="F115" s="51" t="inlineStr">
        <is>
          <t>No iniciado</t>
        </is>
      </c>
      <c r="G115" s="51" t="inlineStr">
        <is>
          <t>Alta</t>
        </is>
      </c>
      <c r="H115" s="51" t="inlineStr">
        <is>
          <t>Plan 23, sección 4 (preguntas). frontend/src/pages/PoliticaDatosPage.jsx.</t>
        </is>
      </c>
      <c r="I115" s="51" t="inlineStr">
        <is>
          <t>Antes de activar cualquier función de IA que envíe datos personales o fotos. El equipo no es asesor jurídico: consultar al docente o al consultorio jurídico.</t>
        </is>
      </c>
      <c r="J115" s="51" t="inlineStr">
        <is>
          <t>Luis</t>
        </is>
      </c>
      <c r="K115" s="53" t="n">
        <v>46301</v>
      </c>
      <c r="L115" s="54">
        <f>IF(K115="","",TODAY()-K115)</f>
        <v/>
      </c>
    </row>
    <row r="116" ht="23.85" customHeight="1" s="33">
      <c r="A116" s="51" t="inlineStr">
        <is>
          <t>P23-08</t>
        </is>
      </c>
      <c r="B116" s="52" t="inlineStr">
        <is>
          <t>23</t>
        </is>
      </c>
      <c r="C116" s="51" t="inlineStr">
        <is>
          <t>Documentos</t>
        </is>
      </c>
      <c r="D116" s="51" t="inlineStr">
        <is>
          <t>Reposicionar la propuesta de valor: de «usando IA» a motor propio, explicable y auditable con la IA como capa opcional en evaluación; revisar título, objetivo general y objetivo específico 3; no reutilizar cifras sin respaldo (85 %, 28 %, 22 %, 4 h)</t>
        </is>
      </c>
      <c r="E116" s="51" t="inlineStr">
        <is>
          <t>Decisión pendiente</t>
        </is>
      </c>
      <c r="F116" s="51" t="inlineStr">
        <is>
          <t>En progreso</t>
        </is>
      </c>
      <c r="G116" s="51" t="inlineStr">
        <is>
          <t>Media</t>
        </is>
      </c>
      <c r="H116" s="51" t="inlineStr">
        <is>
          <t>Plan 23, sección 6. Borrador de los textos de reemplazo: Documentacion/StockPilot_Secciones_corregidas_sobre_la_IA.docx (mismo formato que «Plan de Negocio — Secciones corregidas v2»).</t>
        </is>
      </c>
      <c r="I116" s="51" t="inlineStr">
        <is>
          <t>Falta que Luis aplique los reemplazos en los documentos originales y consulte al docente antes de cambiar título y objetivos. Verificar los pasajes en Word (se ubicaron en textos extraídos). Seis verificaciones pendientes en la última página del borrador.</t>
        </is>
      </c>
      <c r="J116" s="51" t="inlineStr">
        <is>
          <t>Luis</t>
        </is>
      </c>
      <c r="K116" s="53" t="n">
        <v>46301</v>
      </c>
      <c r="L116" s="54">
        <f>IF(K116="","",TODAY()-K116)</f>
        <v/>
      </c>
    </row>
    <row r="117" ht="23.85" customHeight="1" s="33">
      <c r="A117" s="51" t="inlineStr">
        <is>
          <t>P23-09</t>
        </is>
      </c>
      <c r="B117" s="52" t="inlineStr">
        <is>
          <t>23</t>
        </is>
      </c>
      <c r="C117" s="51" t="inlineStr">
        <is>
          <t>Privacidad</t>
        </is>
      </c>
      <c r="D117" s="51" t="inlineStr">
        <is>
          <t>El análisis de riesgo de un cliente (Cartera) mandaba el nombre del cliente a OpenAI; ahora manda el id</t>
        </is>
      </c>
      <c r="E117" s="51" t="inlineStr">
        <is>
          <t>Observación / defecto</t>
        </is>
      </c>
      <c r="F117" s="51" t="inlineStr">
        <is>
          <t>Terminado</t>
        </is>
      </c>
      <c r="G117" s="51" t="inlineStr">
        <is>
          <t>Alta</t>
        </is>
      </c>
      <c r="H117" s="51" t="inlineStr">
        <is>
          <t>Commit afddd1d (rama feat/modo-basico-web); tests/integration/ia_privacidad.test.js (confirmado en rojo antes del arreglo; 4 mutaciones detectadas).</t>
        </is>
      </c>
      <c r="I117" s="51" t="inlineStr">
        <is>
          <t>Subido a la rama; falta mezclar a main.</t>
        </is>
      </c>
      <c r="J117" s="51" t="inlineStr">
        <is>
          <t>Agente (Claude Code)</t>
        </is>
      </c>
      <c r="K117" s="53" t="n">
        <v>46301</v>
      </c>
      <c r="L117" s="54">
        <f>IF(K117="","",TODAY()-K117)</f>
        <v/>
      </c>
    </row>
  </sheetData>
  <autoFilter ref="A4:L117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s="32" t="inlineStr">
        <is>
          <t>P07-01, P07-02, P07-03, P19-06, P19-07, P21-04, P21-09, P21-13, P21-14, P22-04, P22-05</t>
        </is>
      </c>
      <c r="C12" s="32" t="inlineStr">
        <is>
          <t>—</t>
        </is>
      </c>
      <c r="D12" s="32" t="inlineStr">
        <is>
          <t>—</t>
        </is>
      </c>
      <c r="E12" s="32" t="inlineStr">
        <is>
          <t>Luis</t>
        </is>
      </c>
      <c r="F12" s="3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  <row r="13" s="33">
      <c r="A13" s="53" t="n">
        <v>46301</v>
      </c>
      <c r="B13" s="32" t="inlineStr">
        <is>
          <t>P19-06, P11-02, P23-01 a P23-09</t>
        </is>
      </c>
      <c r="C13" s="32" t="inlineStr">
        <is>
          <t>—</t>
        </is>
      </c>
      <c r="D13" s="32" t="inlineStr">
        <is>
          <t>—</t>
        </is>
      </c>
      <c r="E13" s="32" t="inlineStr">
        <is>
          <t>Luis</t>
        </is>
      </c>
      <c r="F13" s="32" t="inlineStr">
        <is>
          <t>Decisiones del 6-oct: la IA va disponible pero opcional (oculta en el modo básico); se invertirá en corregir el evaluador y medir, contexto real al ajuste y lectura de facturas (plan 23); privacidad primero. Modo básico A, B y C implementado en la rama feat/modo-basico-web (subida). Arreglo de privacidad de Cartera (afddd1d) terminado. Rama del backend y 4 ramas de la app subidas; main sin tocar.</t>
        </is>
      </c>
    </row>
    <row r="14" s="33">
      <c r="A14" s="53" t="n">
        <v>46301</v>
      </c>
      <c r="B14" t="inlineStr">
        <is>
          <t>P23-08</t>
        </is>
      </c>
      <c r="C14" t="inlineStr">
        <is>
          <t>No iniciado</t>
        </is>
      </c>
      <c r="D14" t="inlineStr">
        <is>
          <t>En progreso</t>
        </is>
      </c>
      <c r="E14" t="inlineStr">
        <is>
          <t>Agente (Claude Code)</t>
        </is>
      </c>
      <c r="F14" t="inlineStr">
        <is>
          <t>Borrador de las secciones corregidas sobre el alcance de la IA, con el formato del documento «Secciones corregidas v2»: Documentacion/StockPilot_Secciones_corregidas_sobre_la_IA.docx (21 recuadros de instrucción, 4 tablas). Pendiente de que Luis lo aplique.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2026-10-06T16:40:01Z</dcterms:modified>
  <cp:revision>0</cp:revision>
</cp:coreProperties>
</file>