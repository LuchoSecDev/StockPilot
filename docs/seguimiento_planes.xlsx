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sumen" sheetId="1" state="visible" r:id="rId3"/>
    <sheet name="Pendientes" sheetId="2" state="visible" r:id="rId4"/>
    <sheet name="Bitácora" sheetId="3" state="visible" r:id="rId5"/>
    <sheet name="Leyenda" sheetId="4" state="visible" r:id="rId6"/>
  </sheets>
  <definedNames>
    <definedName function="false" hidden="true" localSheetId="1" name="_xlnm._FilterDatabase" vbProcedure="false">Pendientes!$A$4:$L$94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<sst xmlns="http://schemas.openxmlformats.org/spreadsheetml/2006/main" count="906" uniqueCount="464">
  <si>
    <t xml:space="preserve">Resumen de pendientes</t>
  </si>
  <si>
    <t xml:space="preserve">Se actualiza solo a partir de la hoja Pendientes.</t>
  </si>
  <si>
    <t xml:space="preserve">Estado</t>
  </si>
  <si>
    <t xml:space="preserve">Cantidad</t>
  </si>
  <si>
    <t xml:space="preserve">% del total</t>
  </si>
  <si>
    <t xml:space="preserve">Plan</t>
  </si>
  <si>
    <t xml:space="preserve">Tema</t>
  </si>
  <si>
    <t xml:space="preserve">Abiertos</t>
  </si>
  <si>
    <t xml:space="preserve">Terminados</t>
  </si>
  <si>
    <t xml:space="preserve">Descartados</t>
  </si>
  <si>
    <t xml:space="preserve">Total</t>
  </si>
  <si>
    <t xml:space="preserve">No iniciado</t>
  </si>
  <si>
    <t xml:space="preserve">02</t>
  </si>
  <si>
    <t xml:space="preserve">Roles y permisos del tendero</t>
  </si>
  <si>
    <t xml:space="preserve">En progreso</t>
  </si>
  <si>
    <t xml:space="preserve">04</t>
  </si>
  <si>
    <t xml:space="preserve">Posventa y facturación</t>
  </si>
  <si>
    <t xml:space="preserve">Parcial</t>
  </si>
  <si>
    <t xml:space="preserve">05</t>
  </si>
  <si>
    <t xml:space="preserve">Egresos de caja chica y Redis</t>
  </si>
  <si>
    <t xml:space="preserve">Terminado</t>
  </si>
  <si>
    <t xml:space="preserve">06</t>
  </si>
  <si>
    <t xml:space="preserve">Notificaciones avanzadas</t>
  </si>
  <si>
    <t xml:space="preserve">Bloqueado</t>
  </si>
  <si>
    <t xml:space="preserve">07</t>
  </si>
  <si>
    <t xml:space="preserve">App compañera Flutter</t>
  </si>
  <si>
    <t xml:space="preserve">Descartado</t>
  </si>
  <si>
    <t xml:space="preserve">08</t>
  </si>
  <si>
    <t xml:space="preserve">Funcionalidades faltantes</t>
  </si>
  <si>
    <t xml:space="preserve">Por verificar</t>
  </si>
  <si>
    <t xml:space="preserve">09</t>
  </si>
  <si>
    <t xml:space="preserve">Rediseño: paleta y tokens</t>
  </si>
  <si>
    <t xml:space="preserve">10</t>
  </si>
  <si>
    <t xml:space="preserve">Lint y calidad de código</t>
  </si>
  <si>
    <t xml:space="preserve">Abiertos (sin terminar ni descartar)</t>
  </si>
  <si>
    <t xml:space="preserve">11</t>
  </si>
  <si>
    <t xml:space="preserve">Consejero IA "+0u"</t>
  </si>
  <si>
    <t xml:space="preserve">Abiertos de prioridad Alta</t>
  </si>
  <si>
    <t xml:space="preserve">12</t>
  </si>
  <si>
    <t xml:space="preserve">Rediseño: tipografía y forma</t>
  </si>
  <si>
    <t xml:space="preserve">13</t>
  </si>
  <si>
    <t xml:space="preserve">Consejero IA → borrador de orden</t>
  </si>
  <si>
    <t xml:space="preserve">Planes 01 y 03: implementados y verificados, sin pendientes.</t>
  </si>
  <si>
    <t xml:space="preserve">14</t>
  </si>
  <si>
    <t xml:space="preserve">Rediseño: verificación</t>
  </si>
  <si>
    <t xml:space="preserve">15</t>
  </si>
  <si>
    <t xml:space="preserve">Migración de Fiados en producción</t>
  </si>
  <si>
    <t xml:space="preserve">16</t>
  </si>
  <si>
    <t xml:space="preserve">Recepción de mercancía</t>
  </si>
  <si>
    <t xml:space="preserve">17</t>
  </si>
  <si>
    <t xml:space="preserve">Motor de riesgo unificado</t>
  </si>
  <si>
    <t xml:space="preserve">18</t>
  </si>
  <si>
    <t xml:space="preserve">Simulador con motor único</t>
  </si>
  <si>
    <t xml:space="preserve">19</t>
  </si>
  <si>
    <t xml:space="preserve">Requisitos de la intervención</t>
  </si>
  <si>
    <t xml:space="preserve">20</t>
  </si>
  <si>
    <t xml:space="preserve">Cobertura real del backend</t>
  </si>
  <si>
    <t xml:space="preserve">21</t>
  </si>
  <si>
    <t xml:space="preserve">Refactorización y tiempo real</t>
  </si>
  <si>
    <t xml:space="preserve">22</t>
  </si>
  <si>
    <t xml:space="preserve">Panel interno y funciones por tienda</t>
  </si>
  <si>
    <t xml:space="preserve">StockPilot · Seguimiento de pendientes de los planes 02 a 22</t>
  </si>
  <si>
    <t xml:space="preserve">Revisado contra el código de main el 27-09-2026. Cambie el Estado con la lista desplegable y anote la fecha, quién y qué en la Bitácora. Los planes 01 y 03 no tienen pendientes.</t>
  </si>
  <si>
    <t xml:space="preserve">ID</t>
  </si>
  <si>
    <t xml:space="preserve">Área</t>
  </si>
  <si>
    <t xml:space="preserve">Pendiente</t>
  </si>
  <si>
    <t xml:space="preserve">Tipo</t>
  </si>
  <si>
    <t xml:space="preserve">Prioridad</t>
  </si>
  <si>
    <t xml:space="preserve">Evidencia / dónde está</t>
  </si>
  <si>
    <t xml:space="preserve">Notas</t>
  </si>
  <si>
    <t xml:space="preserve">Responsable</t>
  </si>
  <si>
    <t xml:space="preserve">Última actualización</t>
  </si>
  <si>
    <t xml:space="preserve">Días sin actualizar</t>
  </si>
  <si>
    <t xml:space="preserve">P02-01</t>
  </si>
  <si>
    <t xml:space="preserve">Seguridad</t>
  </si>
  <si>
    <t xml:space="preserve">Un Tendero puede cambiar los datos de su tienda (incluido su propio límite de egresos) y desactivarla: PUT /api/tienda/update/:id y /api/tienda/estado/:id solo piden requireLogin</t>
  </si>
  <si>
    <t xml:space="preserve">Observación / defecto</t>
  </si>
  <si>
    <t xml:space="preserve">Alta</t>
  </si>
  <si>
    <t xml:space="preserve">routes/storeRoutes.js; storeController verifica que la tienda sea la del usuario, pero no su rol. Verificado leyendo el código (28-sep).</t>
  </si>
  <si>
    <t xml:space="preserve">Plan 22, fase I0: agregar requireAdmin y una prueba de integración con sesión de Tendero que espere 403.</t>
  </si>
  <si>
    <t xml:space="preserve">P04-01</t>
  </si>
  <si>
    <t xml:space="preserve">Posventa</t>
  </si>
  <si>
    <t xml:space="preserve">Devolución de productos: reintegrar la cantidad al inventario y registrar la salida de dinero de la caja o un saldo a favor</t>
  </si>
  <si>
    <t xml:space="preserve">Pendiente del plan</t>
  </si>
  <si>
    <t xml:space="preserve">Media</t>
  </si>
  <si>
    <t xml:space="preserve">Plan 04, vertiente A. No existe endpoint ni pantalla de devoluciones (búsqueda en controllers, routes y frontend: sin resultados).</t>
  </si>
  <si>
    <t xml:space="preserve">P04-02</t>
  </si>
  <si>
    <t xml:space="preserve">Anulación de ventas registradas por error, con motivo, usuario que anula y reajuste automático del arqueo esperado</t>
  </si>
  <si>
    <t xml:space="preserve">Plan 04, vertiente A. Sin implementación.</t>
  </si>
  <si>
    <t xml:space="preserve">Los errores de registro son la dificultad n.º 1 de la encuesta (53 %): anular bien una venta equivocada es parte de tener datos confiables.</t>
  </si>
  <si>
    <t xml:space="preserve">P04-03</t>
  </si>
  <si>
    <t xml:space="preserve">Reimpresión de comprobantes desde el historial de ventas</t>
  </si>
  <si>
    <t xml:space="preserve">Plan 04, vertiente A. El diseño detallado está en el plan 19, sección 3.6 (recibo PDF y vista de factura).</t>
  </si>
  <si>
    <t xml:space="preserve">Se puede hacer junto con la fila del plan 19 sobre el recibo en PDF.</t>
  </si>
  <si>
    <t xml:space="preserve">P04-04</t>
  </si>
  <si>
    <t xml:space="preserve">Caja</t>
  </si>
  <si>
    <t xml:space="preserve">Egresos de caja chica con motivo, foto opcional y aprobación del administrador</t>
  </si>
  <si>
    <t xml:space="preserve">Implementado por el plan 05: ExpenseModal.jsx, HistorialEgresosTab.jsx, endpoints /api/caja/egreso. Cubierto por la prueba de integración caja.test.js.</t>
  </si>
  <si>
    <t xml:space="preserve">P04-05</t>
  </si>
  <si>
    <t xml:space="preserve">Fiscal</t>
  </si>
  <si>
    <t xml:space="preserve">Facturación electrónica oficial ante la DIAN (XML UBL 2.1, firma y QR) mediante un proveedor autorizado</t>
  </si>
  <si>
    <t xml:space="preserve">Trabajo futuro</t>
  </si>
  <si>
    <t xml:space="preserve">Baja</t>
  </si>
  <si>
    <t xml:space="preserve">Plan 04, vertiente B. Acordado como trabajo futuro para la versión académica; el POS usa documento equivalente.</t>
  </si>
  <si>
    <t xml:space="preserve">Revisar si es obligatoria para los clientes objetivo antes del lanzamiento comercial.</t>
  </si>
  <si>
    <t xml:space="preserve">P05-01</t>
  </si>
  <si>
    <t xml:space="preserve">Infraestructura</t>
  </si>
  <si>
    <t xml:space="preserve">Activar Redis en producción (REDIS_URL) cuando haya varias instancias del servidor</t>
  </si>
  <si>
    <t xml:space="preserve">Plan 05, sección 4. El código ya lo soporta con respaldo en PostgreSQL. No está confirmado si producción tiene REDIS_URL.</t>
  </si>
  <si>
    <t xml:space="preserve">Requisito para el Sprint 6 (2 réplicas) y para el tiempo real con varias réplicas (plan 21, T3).</t>
  </si>
  <si>
    <t xml:space="preserve">P06-01</t>
  </si>
  <si>
    <t xml:space="preserve">Notificaciones</t>
  </si>
  <si>
    <t xml:space="preserve">Notificaciones de fases 1 y 2: descuadre de caja, cambio de precio, comunicados, orden enviada y metas de ventas</t>
  </si>
  <si>
    <t xml:space="preserve">Tipos descuadre_caja, cambio_precio, anuncio_admin, orden_enviada y meta_ventas presentes en los controladores y en NotificationCenter.jsx.</t>
  </si>
  <si>
    <t xml:space="preserve">P06-02</t>
  </si>
  <si>
    <t xml:space="preserve">Umbrales de metas de ventas editables desde el panel del administrador (hoy fijos)</t>
  </si>
  <si>
    <t xml:space="preserve">Plan 06, punto 5 ("a futuro").</t>
  </si>
  <si>
    <t xml:space="preserve">P07-01</t>
  </si>
  <si>
    <t xml:space="preserve">Móvil</t>
  </si>
  <si>
    <t xml:space="preserve">App compañera en Flutter para el tendero (venta con escáner nativo, consulta de inventario, notificaciones)</t>
  </si>
  <si>
    <t xml:space="preserve">Plan 07 completo. No hay código Flutter en el repositorio.</t>
  </si>
  <si>
    <t xml:space="preserve">Estimado del plan: 2 a 3 semanas.</t>
  </si>
  <si>
    <t xml:space="preserve">P08-01</t>
  </si>
  <si>
    <t xml:space="preserve">Cartera</t>
  </si>
  <si>
    <t xml:space="preserve">Gestión de fiados con clientes, abonos y análisis de riesgo con IA</t>
  </si>
  <si>
    <t xml:space="preserve">CarteraPage.jsx, clienteController.js, aiController.assessClientRisk. Cubierto por cartera.test.js (integración).</t>
  </si>
  <si>
    <t xml:space="preserve">P08-02</t>
  </si>
  <si>
    <t xml:space="preserve">Métodos de pago</t>
  </si>
  <si>
    <t xml:space="preserve">Registrar el método de pago de cada venta y usar solo el efectivo en el arqueo</t>
  </si>
  <si>
    <t xml:space="preserve">Implementado en el plan 01 (PaymentModal, Ventas.metodo_pago).</t>
  </si>
  <si>
    <t xml:space="preserve">P08-03</t>
  </si>
  <si>
    <t xml:space="preserve">Analítica</t>
  </si>
  <si>
    <t xml:space="preserve">Panel de rentabilidad por producto: margen × unidades, ranking y alerta de "producto trampa" (clase A con margen &lt; 10 %)</t>
  </si>
  <si>
    <t xml:space="preserve">Hoy existe el margen promedio en el Dashboard y una columna de ganancia en el Excel de reportes; no hay vista por producto ni alertas.</t>
  </si>
  <si>
    <t xml:space="preserve">P08-04</t>
  </si>
  <si>
    <t xml:space="preserve">Inventario</t>
  </si>
  <si>
    <t xml:space="preserve">Conteo físico guiado: listar productos, capturar el conteo real, reporte de diferencias valorizado y ajuste masivo</t>
  </si>
  <si>
    <t xml:space="preserve">Existe el ajuste individual "por conteo físico" (inventoryController). No hay sesión de conteo ni tablas ConteoFisico/DetalleConteo.</t>
  </si>
  <si>
    <t xml:space="preserve">Sirve de instrumento para el indicador "exactitud de inventario" del piloto (fase 5).</t>
  </si>
  <si>
    <t xml:space="preserve">P08-05</t>
  </si>
  <si>
    <t xml:space="preserve">Proveedores</t>
  </si>
  <si>
    <t xml:space="preserve">Historial de precios de costo por producto y proveedor, con gráfica de evolución</t>
  </si>
  <si>
    <t xml:space="preserve">Historial_Precios registra cambios del precio de venta hechos por estrategias de IA, no del costo.</t>
  </si>
  <si>
    <t xml:space="preserve">P08-06</t>
  </si>
  <si>
    <t xml:space="preserve">Notificaciones push en el celular (Web Push con service worker)</t>
  </si>
  <si>
    <t xml:space="preserve">Plan 08, punto 6. Relacionado con las alertas en tiempo real del plan 21.</t>
  </si>
  <si>
    <t xml:space="preserve">P08-07</t>
  </si>
  <si>
    <t xml:space="preserve">Canales</t>
  </si>
  <si>
    <t xml:space="preserve">Integración con WhatsApp para alertas y pedidos</t>
  </si>
  <si>
    <t xml:space="preserve">Plan 08, tier 3.</t>
  </si>
  <si>
    <t xml:space="preserve">Decisión previa de Luis: whatsapp-web.js detrás de una capa de abstracción para el MVP académico; API oficial de Meta para el lanzamiento comercial.</t>
  </si>
  <si>
    <t xml:space="preserve">P08-08</t>
  </si>
  <si>
    <t xml:space="preserve">Catálogo público de la tienda ("vitrina digital") para los clientes del barrio</t>
  </si>
  <si>
    <t xml:space="preserve">P08-09</t>
  </si>
  <si>
    <t xml:space="preserve">Multi-tienda</t>
  </si>
  <si>
    <t xml:space="preserve">Vista consolidada de varias tiendas para un mismo administrador</t>
  </si>
  <si>
    <t xml:space="preserve">Plan 08, tier 3. Hay soporte de varias tiendas (TiendasPage, scripts/migrate_multistore.js); falta confirmar si existe una vista consolidada.</t>
  </si>
  <si>
    <t xml:space="preserve">P09-01</t>
  </si>
  <si>
    <t xml:space="preserve">UX</t>
  </si>
  <si>
    <t xml:space="preserve">La barra lateral queda por encima del fondo de los modales y se puede navegar con un cobro a medias</t>
  </si>
  <si>
    <t xml:space="preserve">En escritorio ya está resuelto (Sidebar z-40 frente a modales z-50/z-100). En móvil el menú abierto usa z-[200]: verificar a 390 px con un modal abierto.</t>
  </si>
  <si>
    <t xml:space="preserve">Reportado también en el plan 14, observación 1.</t>
  </si>
  <si>
    <t xml:space="preserve">P09-02</t>
  </si>
  <si>
    <t xml:space="preserve">Auditoría: 5 tarjetas en una grilla de 4 columnas deja la última sola</t>
  </si>
  <si>
    <t xml:space="preserve">AuditoriaPage.jsx sigue con lg:grid-cols-4.</t>
  </si>
  <si>
    <t xml:space="preserve">P09-03</t>
  </si>
  <si>
    <t xml:space="preserve">POS</t>
  </si>
  <si>
    <t xml:space="preserve">Historial de ventas sin paginación: cargarMasVentas existe pero no está conectado a ningún botón</t>
  </si>
  <si>
    <t xml:space="preserve">TODO en frontend/src/components/puntoventa/HistorialVentasTab.jsx, línea 70.</t>
  </si>
  <si>
    <t xml:space="preserve">Solo se ve la primera página de ventas.</t>
  </si>
  <si>
    <t xml:space="preserve">P09-04</t>
  </si>
  <si>
    <t xml:space="preserve">Dependencias</t>
  </si>
  <si>
    <t xml:space="preserve">react-router-dom y axios están en devDependencies siendo dependencias de ejecución</t>
  </si>
  <si>
    <t xml:space="preserve">frontend/package.json.</t>
  </si>
  <si>
    <t xml:space="preserve">Puede romper un build que instale solo dependencias de producción.</t>
  </si>
  <si>
    <t xml:space="preserve">P09-05</t>
  </si>
  <si>
    <t xml:space="preserve">Rendimiento</t>
  </si>
  <si>
    <t xml:space="preserve">Chunks del frontend mayores a 500 kB; cargar recharts y las rutas de forma diferida</t>
  </si>
  <si>
    <t xml:space="preserve">Plan 09, sección 6. Solo 2 de 23 páginas usan lazy().</t>
  </si>
  <si>
    <t xml:space="preserve">Incluido en el plan 21, R3 punto 4.</t>
  </si>
  <si>
    <t xml:space="preserve">P09-06</t>
  </si>
  <si>
    <t xml:space="preserve">Diseño</t>
  </si>
  <si>
    <t xml:space="preserve">Tokens de @theme que solo usa JS (ToastContext) pueden dejar de emitirse si ninguna clase los usa</t>
  </si>
  <si>
    <t xml:space="preserve">Plan 09, sección 6.</t>
  </si>
  <si>
    <t xml:space="preserve">P10-01</t>
  </si>
  <si>
    <t xml:space="preserve">Calidad</t>
  </si>
  <si>
    <t xml:space="preserve">Agregar eslint.config.js y la dependencia eslint al backend para que el lint corra en CI</t>
  </si>
  <si>
    <t xml:space="preserve">Plan 10, secciones 2 y 4. No existe eslint.config.* en la raíz.</t>
  </si>
  <si>
    <t xml:space="preserve">P10-02</t>
  </si>
  <si>
    <t xml:space="preserve">Pruebas</t>
  </si>
  <si>
    <t xml:space="preserve">Plantilla de generar_reporte.js: versión de Vitest corregida (v4), pero sigue diciendo "Certificado Oficial" y "Production-Ready"</t>
  </si>
  <si>
    <t xml:space="preserve">generar_reporte.js, líneas 68-108.</t>
  </si>
  <si>
    <t xml:space="preserve">Corregir el tono antes de anexar el reporte a un entregable.</t>
  </si>
  <si>
    <t xml:space="preserve">P10-03</t>
  </si>
  <si>
    <t xml:space="preserve">test_disable_2fa.js en la raíz inserta datos en la base real</t>
  </si>
  <si>
    <t xml:space="preserve">Plan 10, sección 3.2.</t>
  </si>
  <si>
    <t xml:space="preserve">Moverlo a scripts/ con la protección de base de pruebas o eliminarlo.</t>
  </si>
  <si>
    <t xml:space="preserve">P10-04</t>
  </si>
  <si>
    <t xml:space="preserve">Datos</t>
  </si>
  <si>
    <t xml:space="preserve">seed_test_data.js hace TRUNCATE de todas las tablas sin verificar a qué base apunta</t>
  </si>
  <si>
    <t xml:space="preserve">Plan 10, sección 3.1.</t>
  </si>
  <si>
    <t xml:space="preserve">Agregar la misma protección de setupTestDb.js (nombre terminado en _test y host local).</t>
  </si>
  <si>
    <t xml:space="preserve">P11-01</t>
  </si>
  <si>
    <t xml:space="preserve">Motor</t>
  </si>
  <si>
    <t xml:space="preserve">Acotar la tendencia (0,5× a 2×) y exigir un mínimo de ventas</t>
  </si>
  <si>
    <t xml:space="preserve">utils/reposicion.js: TENDENCIA_MIN/MAX y MIN_VENTAS_PARA_TENDENCIA.</t>
  </si>
  <si>
    <t xml:space="preserve">P11-02</t>
  </si>
  <si>
    <t xml:space="preserve">IA</t>
  </si>
  <si>
    <t xml:space="preserve">Confianza 50 %/20 % en todas las tarjetas mientras no haya historial en Feedback_IA</t>
  </si>
  <si>
    <t xml:space="preserve">Plan 11, sección 5.</t>
  </si>
  <si>
    <t xml:space="preserve">Se resuelve con datos reales del piloto; no requiere código.</t>
  </si>
  <si>
    <t xml:space="preserve">P12-01</t>
  </si>
  <si>
    <t xml:space="preserve">Tabla de Movimientos: la columna Observaciones queda fuera de vista</t>
  </si>
  <si>
    <t xml:space="preserve">Plan 12, sección 5.</t>
  </si>
  <si>
    <t xml:space="preserve">P12-02</t>
  </si>
  <si>
    <t xml:space="preserve">Columna de producto estrecha en Productos y Movimientos (nombres largos en 3 líneas)</t>
  </si>
  <si>
    <t xml:space="preserve">Plan 12, sección 5, y plan 14, observación 6.</t>
  </si>
  <si>
    <t xml:space="preserve">P12-03</t>
  </si>
  <si>
    <t xml:space="preserve">Productos con unidades marcados como "AGOTADO"</t>
  </si>
  <si>
    <t xml:space="preserve">Resuelto con los niveles agotado/crítico/reponer/ok del plan 17.</t>
  </si>
  <si>
    <t xml:space="preserve">P12-04</t>
  </si>
  <si>
    <t xml:space="preserve">La utilidad titular fija line-height 1 y junta los títulos de dos líneas</t>
  </si>
  <si>
    <t xml:space="preserve">Subir a 1,05 si molesta.</t>
  </si>
  <si>
    <t xml:space="preserve">P13-01</t>
  </si>
  <si>
    <t xml:space="preserve">Máquina de estados formal en PATCH /api/ordenes/:id/estado (hoy solo rechaza "Completada" y acepta cualquier otro texto)</t>
  </si>
  <si>
    <t xml:space="preserve">Plan 13, secciones 10 y 13; suppliersController.updateOrderStatus.</t>
  </si>
  <si>
    <t xml:space="preserve">P14-01</t>
  </si>
  <si>
    <t xml:space="preserve">Los avisos (toasts) tapan los botones de la esquina superior derecha durante unos 5 segundos</t>
  </si>
  <si>
    <t xml:space="preserve">ToastContext.jsx: top 20 px, right 20 px.</t>
  </si>
  <si>
    <t xml:space="preserve">P14-02</t>
  </si>
  <si>
    <t xml:space="preserve">Si falla la consulta de la caja, el modal ofrece "Abrir caja" aunque haya un turno abierto</t>
  </si>
  <si>
    <t xml:space="preserve">Plan 14, observación 4.</t>
  </si>
  <si>
    <t xml:space="preserve">Distinguir "sin turno" de "no se pudo consultar".</t>
  </si>
  <si>
    <t xml:space="preserve">P14-03</t>
  </si>
  <si>
    <t xml:space="preserve">Avisos de error duplicados en desarrollo (React StrictMode)</t>
  </si>
  <si>
    <t xml:space="preserve">Solo pasa en desarrollo; en producción sale uno.</t>
  </si>
  <si>
    <t xml:space="preserve">P14-04</t>
  </si>
  <si>
    <t xml:space="preserve">Git</t>
  </si>
  <si>
    <t xml:space="preserve">Subir a main las ramas del rediseño (fases 2 a 4)</t>
  </si>
  <si>
    <t xml:space="preserve">Merges en el historial de Git (feature/rediseno-visual, feature/rediseno-fase4, etc.).</t>
  </si>
  <si>
    <t xml:space="preserve">P15-01</t>
  </si>
  <si>
    <t xml:space="preserve">Base de datos</t>
  </si>
  <si>
    <t xml:space="preserve">El esquema vive en dos lugares (init_pg.sql y la auto-migración de config/database.js), lo que produce brechas como la de Fiados</t>
  </si>
  <si>
    <t xml:space="preserve">Plan 15, sección 6.</t>
  </si>
  <si>
    <t xml:space="preserve">Incluido en el plan 21, R4.</t>
  </si>
  <si>
    <t xml:space="preserve">P15-02</t>
  </si>
  <si>
    <t xml:space="preserve">init_pg.sql no podía crear una base nueva (dependencia circular Tienda ↔ Usuarios)</t>
  </si>
  <si>
    <t xml:space="preserve">Corregido en el plan 20, sección 8.1.</t>
  </si>
  <si>
    <t xml:space="preserve">P16-01</t>
  </si>
  <si>
    <t xml:space="preserve">"Aprendizaje de la IA" como lo proponía el documento original</t>
  </si>
  <si>
    <t xml:space="preserve">Ya existe por otra vía: feedbackController + runDailyAIEvaluation (plan 16, sección 1).</t>
  </si>
  <si>
    <t xml:space="preserve">P16-02</t>
  </si>
  <si>
    <t xml:space="preserve">Pruebas de la recepción de mercancía: cantidad recibida igual, menor y mayor a la pedida</t>
  </si>
  <si>
    <t xml:space="preserve">Plan 16, sección 6. No está entre los 7 flujos de integración del plan 20.</t>
  </si>
  <si>
    <t xml:space="preserve">Incluido en el plan 21, R0.</t>
  </si>
  <si>
    <t xml:space="preserve">P17-01</t>
  </si>
  <si>
    <t xml:space="preserve">Consolidar las consultas de velocidad restantes</t>
  </si>
  <si>
    <t xml:space="preserve">Plan 17, sección 8.7, fase 6: descartado por bajo beneficio.</t>
  </si>
  <si>
    <t xml:space="preserve">P17-02</t>
  </si>
  <si>
    <t xml:space="preserve">Productos</t>
  </si>
  <si>
    <t xml:space="preserve">El código de barras es obligatorio en ProductFormModal y bloquea en silencio la edición de productos sin código</t>
  </si>
  <si>
    <t xml:space="preserve">ProductFormModal.jsx, línea 344 (required). Plan 17, sección 8.8.</t>
  </si>
  <si>
    <t xml:space="preserve">Si hay productos reales sin código, no se pueden editar desde la interfaz.</t>
  </si>
  <si>
    <t xml:space="preserve">P17-03</t>
  </si>
  <si>
    <t xml:space="preserve">Probar manualmente y subir a main la unificación del motor de riesgo</t>
  </si>
  <si>
    <t xml:space="preserve">Merge de feature/unificacion-motor-riesgo en el historial de Git.</t>
  </si>
  <si>
    <t xml:space="preserve">P18-01</t>
  </si>
  <si>
    <t xml:space="preserve">Simulador</t>
  </si>
  <si>
    <t xml:space="preserve">Simulador de escenarios con el motor único de reposición (fases 1 a 4)</t>
  </si>
  <si>
    <t xml:space="preserve">calcularReposicion acepta diasCoberturaOverride, /api/ia/snapshot recibe ?dias=N, SimuladorPage.jsx usa cantidad_recomendada y la respuesta incluye categoria.</t>
  </si>
  <si>
    <t xml:space="preserve">P18-02</t>
  </si>
  <si>
    <t xml:space="preserve">Documentación</t>
  </si>
  <si>
    <t xml:space="preserve">Actualizar el encabezado del plan 18: todavía dice "Propuesto, pendiente de confirmación"</t>
  </si>
  <si>
    <t xml:space="preserve">Mantenimiento de docs</t>
  </si>
  <si>
    <t xml:space="preserve">docs/planes/18_unificacion_simulador_motor_reposicion.md, línea 3.</t>
  </si>
  <si>
    <t xml:space="preserve">P19-01</t>
  </si>
  <si>
    <t xml:space="preserve">Respaldos</t>
  </si>
  <si>
    <t xml:space="preserve">Respaldo diario con pg_dump (conserva 14)</t>
  </si>
  <si>
    <t xml:space="preserve">utils/backup.js y cron de las 2:00 en schedulerService.js.</t>
  </si>
  <si>
    <t xml:space="preserve">P19-02</t>
  </si>
  <si>
    <t xml:space="preserve">Copia de los respaldos en almacenamiento externo, verificar que pg_dump exista en Render y probar una restauración</t>
  </si>
  <si>
    <t xml:space="preserve">Plan 19, sección 3.1. Los respaldos quedan en el disco temporal de Render.</t>
  </si>
  <si>
    <t xml:space="preserve">Requisito antes de recibir datos de tiendas reales (piloto, fase 5).</t>
  </si>
  <si>
    <t xml:space="preserve">P19-03</t>
  </si>
  <si>
    <t xml:space="preserve">Legal</t>
  </si>
  <si>
    <t xml:space="preserve">Política de tratamiento de datos con aceptación obligatoria en el registro</t>
  </si>
  <si>
    <t xml:space="preserve">Implementada en código (PoliticaDatosPage.jsx, /politica-datos, fecha_aceptacion_politica_datos). Falta confirmar que esté desplegada en Render.</t>
  </si>
  <si>
    <t xml:space="preserve">P19-04</t>
  </si>
  <si>
    <t xml:space="preserve">Re-consentimiento si cambia la política y formulario de autoservicio para ejercer los derechos del titular</t>
  </si>
  <si>
    <t xml:space="preserve">Plan 19, sección 3.2 ("fuera de esta ronda").</t>
  </si>
  <si>
    <t xml:space="preserve">P19-05</t>
  </si>
  <si>
    <t xml:space="preserve">Métricas</t>
  </si>
  <si>
    <t xml:space="preserve">Métrica de activación de la prueba gratuita (≥ 20 productos y ventas durante 7 días) con endpoint interno</t>
  </si>
  <si>
    <t xml:space="preserve">Plan 19, sección 3.3. Diseño SQL listo.</t>
  </si>
  <si>
    <t xml:space="preserve">Construir cuando se prepare la convocatoria pública.</t>
  </si>
  <si>
    <t xml:space="preserve">P19-06</t>
  </si>
  <si>
    <t xml:space="preserve">Modo básico</t>
  </si>
  <si>
    <t xml:space="preserve">Modo básico, fases A a C: preferencia de modo, menú reducido y pantalla "¿Qué pido?" con recepción</t>
  </si>
  <si>
    <t xml:space="preserve">Plan 19, sección 3.4.</t>
  </si>
  <si>
    <t xml:space="preserve">Llevar el prototipo a la prueba de usabilidad (fase 4). Decisión pendiente: si el colaborador puede cambiar su propio modo.</t>
  </si>
  <si>
    <t xml:space="preserve">P19-07</t>
  </si>
  <si>
    <t xml:space="preserve">Modo básico, fases D y E: permisos del colaborador sobre órdenes y catálogo simplificado</t>
  </si>
  <si>
    <t xml:space="preserve">Hacerlo solo si la prueba de usabilidad confirma que el modo básico ayuda. Decisión pendiente: si el colaborador ve montos o solo cantidades.</t>
  </si>
  <si>
    <t xml:space="preserve">P19-08</t>
  </si>
  <si>
    <t xml:space="preserve">Convocatoria</t>
  </si>
  <si>
    <t xml:space="preserve">Pregunta de experiencia digital en el registro, invitación a compartir y encuesta corta de satisfacción</t>
  </si>
  <si>
    <t xml:space="preserve">Plan 19, sección 3.5.</t>
  </si>
  <si>
    <t xml:space="preserve">Depende de la convocatoria pública.</t>
  </si>
  <si>
    <t xml:space="preserve">P19-09</t>
  </si>
  <si>
    <t xml:space="preserve">Botón "Descargar recibo (PDF)" y vista de factura individual desde el historial</t>
  </si>
  <si>
    <t xml:space="preserve">Plan 19, sección 3.6. Reutiliza pdfkit.</t>
  </si>
  <si>
    <t xml:space="preserve">P19-10</t>
  </si>
  <si>
    <t xml:space="preserve">El SQL de la métrica de activación usa Tienda.fecha_creacion, una columna que no existe</t>
  </si>
  <si>
    <t xml:space="preserve">Plan 19, sección 3.3, frente a database/init_pg.sql (Tienda no tiene ninguna fecha).</t>
  </si>
  <si>
    <t xml:space="preserve">Se corrige en el plan 22, fase I1 (columna nueva y relleno con la fecha de registro más antigua de sus usuarios).</t>
  </si>
  <si>
    <t xml:space="preserve">P20-01</t>
  </si>
  <si>
    <t xml:space="preserve">La auto-migración de config/database.js corre en cada require contra cualquier DATABASE_URL, sin protección</t>
  </si>
  <si>
    <t xml:space="preserve">Plan 20, sección 8.3.</t>
  </si>
  <si>
    <t xml:space="preserve">P20-02</t>
  </si>
  <si>
    <t xml:space="preserve">La apertura de caja hace SELECT y después INSERT sin transacción (carrera posible, no reproducida)</t>
  </si>
  <si>
    <t xml:space="preserve">Plan 20, sección 8.8.</t>
  </si>
  <si>
    <t xml:space="preserve">Incluido en el plan 21, R2 (services/caja.js).</t>
  </si>
  <si>
    <t xml:space="preserve">P20-03</t>
  </si>
  <si>
    <t xml:space="preserve">Pruebas para los bloques que siguen excluidos de la cobertura: evaluación de órdenes de la IA, dryRun/resolve/getStats de alertas y validateRegister/validateReport</t>
  </si>
  <si>
    <t xml:space="preserve">Bloques /* v8 ignore */ en feedbackController.js, models/Alert.js y middleware/validation.js, cada uno con su justificación.</t>
  </si>
  <si>
    <t xml:space="preserve">P20-04</t>
  </si>
  <si>
    <t xml:space="preserve">Subir los thresholds de cobertura a medida que se agreguen pruebas</t>
  </si>
  <si>
    <t xml:space="preserve">vitest.config.js (hoy 10/15/19/9).</t>
  </si>
  <si>
    <t xml:space="preserve">Tarea continua.</t>
  </si>
  <si>
    <t xml:space="preserve">P20-05</t>
  </si>
  <si>
    <t xml:space="preserve">Prueba del límite de fuerza bruta del login (10 intentos fallidos en 15 minutos)</t>
  </si>
  <si>
    <t xml:space="preserve">Plan 20, sección 8.6.</t>
  </si>
  <si>
    <t xml:space="preserve">P20-06</t>
  </si>
  <si>
    <t xml:space="preserve">Actualizar la sección 6 del plan 20: todavía dice que la rama no se ha subido ni mezclado a main</t>
  </si>
  <si>
    <t xml:space="preserve">docs/planes/20_cobertura_real_backend.md, sección 6.</t>
  </si>
  <si>
    <t xml:space="preserve">P21-01</t>
  </si>
  <si>
    <t xml:space="preserve">Refactorización</t>
  </si>
  <si>
    <t xml:space="preserve">R0: pruebas de caracterización de IA, proveedores, autenticación y productos</t>
  </si>
  <si>
    <t xml:space="preserve">Rama test/plan21-r0-caracterizacion (5 commits): 48 pruebas nuevas en 5 archivos. Integración 95/95 en 5 corridas seguidas (97/97 con la guardia de limitadores); unitarias 196/196. Cobertura combinada de sentencias: 34,9 % → 55,8 %.</t>
  </si>
  <si>
    <t xml:space="preserve">Hecho en la rama; falta la revisión de Luis y el merge a main. Requisito para las demás fases del plan 21.</t>
  </si>
  <si>
    <t xml:space="preserve">P21-02</t>
  </si>
  <si>
    <t xml:space="preserve">R1: services/ia/ y cliente único de OpenAI (base del ia-service del Sprint 6.3)</t>
  </si>
  <si>
    <t xml:space="preserve">Plan 21, sección 4.</t>
  </si>
  <si>
    <t xml:space="preserve">P21-03</t>
  </si>
  <si>
    <t xml:space="preserve">R2: eventos de inventario y servicios de dominio (proveedores, auth, productos, caja)</t>
  </si>
  <si>
    <t xml:space="preserve">P21-04</t>
  </si>
  <si>
    <t xml:space="preserve">R3: hooks y descomposición del frontend, empezando por DashboardPage</t>
  </si>
  <si>
    <t xml:space="preserve">P21-05</t>
  </si>
  <si>
    <t xml:space="preserve">R4: limpieza (migración explícita, estilo de controladores, console.* → logger)</t>
  </si>
  <si>
    <t xml:space="preserve">P21-06</t>
  </si>
  <si>
    <t xml:space="preserve">Tiempo real</t>
  </si>
  <si>
    <t xml:space="preserve">Decidir el transporte de las alertas en tiempo real: SSE (recomendado) o Socket.io</t>
  </si>
  <si>
    <t xml:space="preserve">Decisión pendiente</t>
  </si>
  <si>
    <t xml:space="preserve">Plan 21, secciones 5.2 y 8.</t>
  </si>
  <si>
    <t xml:space="preserve">P21-07</t>
  </si>
  <si>
    <t xml:space="preserve">T1 y T2: canal interno, endpoint /api/eventos y hook del frontend que reemplaza las consultas periódicas</t>
  </si>
  <si>
    <t xml:space="preserve">Plan 21, sección 5.3.</t>
  </si>
  <si>
    <t xml:space="preserve">P21-08</t>
  </si>
  <si>
    <t xml:space="preserve">T3: Redis pub/sub (o LISTEN/NOTIFY) y Nginx para varias réplicas</t>
  </si>
  <si>
    <t xml:space="preserve">Junto con el Sprint 6 de Bases de Datos Avanzadas.</t>
  </si>
  <si>
    <t xml:space="preserve">P21-09</t>
  </si>
  <si>
    <t xml:space="preserve">/api/verify-reset-code no tiene limitador propio: el código de 6 dígitos solo queda cubierto por el límite global (600 cada 15 min)</t>
  </si>
  <si>
    <t xml:space="preserve">routes/authRoutes.js:25; app.js solo limita forgot-password y reset-password. Caracterizado en autenticacion_flujos.test.js (R0).</t>
  </si>
  <si>
    <t xml:space="preserve">Encontrado en R0; corregir fuera de la refactorización.</t>
  </si>
  <si>
    <t xml:space="preserve">P21-10</t>
  </si>
  <si>
    <t xml:space="preserve">Recepción de mercancía sin tope: completarRecepcion acepta más unidades de las pedidas, y recibir menos cierra la orden sin dejar el faltante pendiente</t>
  </si>
  <si>
    <t xml:space="preserve">controllers/suppliersController.js (completarRecepcion). Caracterizado en proveedores_flujo.test.js (R0).</t>
  </si>
  <si>
    <t xml:space="preserve">Decidir si se bloquea, se pide confirmación o se deja registro del faltante.</t>
  </si>
  <si>
    <t xml:space="preserve">P21-11</t>
  </si>
  <si>
    <t xml:space="preserve">Los limitadores de peticiones comparten contador entre archivos de prueba: TRUNCATE … RESTART IDENTITY reutiliza user_1 y todas las peticiones sin sesión salen de la misma IP; con la suite creciendo puede aparecer un 429 intermitente</t>
  </si>
  <si>
    <t xml:space="preserve">Medido sin reinicio: global 242/600 sobre user_1, auth 7/10. tests/integration/helpers/limitadores.js reinicia los MemoryStore al comienzo de cada archivo (pico por archivo: 48/600 y 5/10); guardia limitadores_reinicio.test.js.</t>
  </si>
  <si>
    <t xml:space="preserve">Hecho en la rama del R0, solo en pruebas; se cierra con el merge.</t>
  </si>
  <si>
    <t xml:space="preserve">P21-12</t>
  </si>
  <si>
    <t xml:space="preserve">Código muerto: el chequeo !req.file de bulkUpload nunca se alcanza por esa ruta (validateFileType responde antes)</t>
  </si>
  <si>
    <t xml:space="preserve">Caracterizado en productos_carga_masiva.test.js (R0).</t>
  </si>
  <si>
    <t xml:space="preserve">Entra en R4.</t>
  </si>
  <si>
    <t xml:space="preserve">P21-13</t>
  </si>
  <si>
    <t xml:space="preserve">El skip de globalLimiter es código muerto: al montarse en /api/, req.path llega sin ese prefijo, así que login, registro y 2fa/verify sí gastan el presupuesto global</t>
  </si>
  <si>
    <t xml:space="preserve">middleware/rateLimiter.js (skip con req.path.startsWith('/api/login')…); comprobado con una prueba temporal del agente.</t>
  </si>
  <si>
    <t xml:space="preserve">Decidir si se corrige el prefijo o se elimina el skip.</t>
  </si>
  <si>
    <t xml:space="preserve">P21-14</t>
  </si>
  <si>
    <t xml:space="preserve">Apertura de caja con transacción y bloqueo (punto 2.4), adelantada de R2 para antes del piloto</t>
  </si>
  <si>
    <t xml:space="preserve">Plan 21, punto 2.4 y sección 6; plan 22, sección 5 (A.3).</t>
  </si>
  <si>
    <t xml:space="preserve">Una doble apertura dañaría los arqueos del piloto. Commit aparte con su prueba.</t>
  </si>
  <si>
    <t xml:space="preserve">P21-15</t>
  </si>
  <si>
    <t xml:space="preserve">Migración explícita en lugar de la auto-migración de config/database.js (punto 2.2), adelantada de R4 para antes del piloto</t>
  </si>
  <si>
    <t xml:space="preserve">Plan 21, punto 2.2 y decisión 4; plan 22, sección 5 (A.3).</t>
  </si>
  <si>
    <t xml:space="preserve">Recomendado: sí, antes de tener datos reales en producción.</t>
  </si>
  <si>
    <t xml:space="preserve">P22-01</t>
  </si>
  <si>
    <t xml:space="preserve">I0: auditoría de autorización: matriz rol × endpoint, requireAdmin donde corresponda y pruebas de 403 para el Tendero (empieza por las rutas de tienda)</t>
  </si>
  <si>
    <t xml:space="preserve">Plan 22, sección 1.4. Rama fix/rutas-tienda-requireadmin (solo rutas de tienda). Comportamiento actual registrado en autorizacion_roles.test.js (plan 21, R0).</t>
  </si>
  <si>
    <t xml:space="preserve">La rama de tienda espera aprobación; falta el resto de la matriz (ver P22-09 y P22-10). Hacer antes que el resto del plan.</t>
  </si>
  <si>
    <t xml:space="preserve">P22-02</t>
  </si>
  <si>
    <t xml:space="preserve">Panel interno</t>
  </si>
  <si>
    <t xml:space="preserve">I1: esquema interno, cuentas del equipo creadas por script, inicio de sesión con segundo factor obligatorio, requireEquipo y bitácora</t>
  </si>
  <si>
    <t xml:space="preserve">Plan 22, secciones 3.1 y 3.2.</t>
  </si>
  <si>
    <t xml:space="preserve">Antes de la convocatoria pública.</t>
  </si>
  <si>
    <t xml:space="preserve">P22-03</t>
  </si>
  <si>
    <t xml:space="preserve">I2: vistas de métricas agregadas y pantallas Tiendas, Detalle y Bitácora (solo lectura)</t>
  </si>
  <si>
    <t xml:space="preserve">Plan 22, secciones 3.3 y 3.5.</t>
  </si>
  <si>
    <t xml:space="preserve">Es el instrumento para medir la activación y la adopción del piloto.</t>
  </si>
  <si>
    <t xml:space="preserve">P22-04</t>
  </si>
  <si>
    <t xml:space="preserve">Funciones</t>
  </si>
  <si>
    <t xml:space="preserve">I3: funciones liberables por tienda (catálogo, requireFuncion, useFunciones, perfil por defecto del piloto)</t>
  </si>
  <si>
    <t xml:space="preserve">Plan 22, sección 3.4.</t>
  </si>
  <si>
    <t xml:space="preserve">Junto con el modo básico A y B (plan 19, 3.4).</t>
  </si>
  <si>
    <t xml:space="preserve">P22-05</t>
  </si>
  <si>
    <t xml:space="preserve">I4: pantalla de embudo, párrafo nuevo en la política de datos y pregunta de experiencia digital en el registro</t>
  </si>
  <si>
    <t xml:space="preserve">Plan 22, secciones 3.5 y 3.7; plan 19, 3.5.</t>
  </si>
  <si>
    <t xml:space="preserve">Antes de publicar la convocatoria.</t>
  </si>
  <si>
    <t xml:space="preserve">P22-06</t>
  </si>
  <si>
    <t xml:space="preserve">Definir con precisión "activación" (a: una venta en 7 días, b: ventas en 5 de 7 días, c: ventas los 7 días) antes de la convocatoria</t>
  </si>
  <si>
    <t xml:space="preserve">Plan 22, sección 7, decisión 3.</t>
  </si>
  <si>
    <t xml:space="preserve">Decidido el 28-sep: al menos 20 productos y ventas en al menos 5 de los primeros 7 días.</t>
  </si>
  <si>
    <t xml:space="preserve">P22-07</t>
  </si>
  <si>
    <t xml:space="preserve">Definir "días de apertura" para la adopción: preguntarlos al registrarse o asumir 7</t>
  </si>
  <si>
    <t xml:space="preserve">Plan 22, sección 7, decisión 4.</t>
  </si>
  <si>
    <t xml:space="preserve">Decidido el 28-sep: se pregunta en el registro (Tienda.dias_apertura_semana, 1 a 7); las tiendas existentes quedan en 7. Se implementa en I4.</t>
  </si>
  <si>
    <t xml:space="preserve">P22-08</t>
  </si>
  <si>
    <t xml:space="preserve">Proceso</t>
  </si>
  <si>
    <t xml:space="preserve">Congelar cambios de producto durante las 6 semanas del piloto (solo correcciones de errores)</t>
  </si>
  <si>
    <t xml:space="preserve">Plan 22, sección 5.</t>
  </si>
  <si>
    <t xml:space="preserve">Si la app cambia a mitad del piloto, no se puede atribuir un cambio en los indicadores.</t>
  </si>
  <si>
    <t xml:space="preserve">P22-09</t>
  </si>
  <si>
    <t xml:space="preserve">Egresos de caja: aprobar y rechazar no revisan el rol ni la tienda; un Tendero puede aprobar egresos propios y de cualquier otra tienda</t>
  </si>
  <si>
    <t xml:space="preserve">routes/cashRegisterRoutes.js:15-16; models/CashRegister.js approveExpense y rejectExpense (WHERE id_egreso = ? sin id_tienda). Caracterizado en autorizacion_roles.test.js.</t>
  </si>
  <si>
    <t xml:space="preserve">El hallazgo más grave: rompe el aislamiento entre tiendas. Primero dentro de I0.</t>
  </si>
  <si>
    <t xml:space="preserve">P22-10</t>
  </si>
  <si>
    <t xml:space="preserve">Decidir la matriz de roles: qué puede hacer el Tendero en productos (editar, eliminar, precio), promociones, apply-strategy, alertas, ajuste de inventario, reportes y exportar</t>
  </si>
  <si>
    <t xml:space="preserve">Plan 22, sección 1.4; tabla de autorizacion_roles.test.js.</t>
  </si>
  <si>
    <t xml:space="preserve">No todo es un defecto: resolver una alerta o registrar un conteo físico pueden ser tareas del Tendero. Las pruebas que hoy esperan 200 se invierten a 403 solo donde se decida.</t>
  </si>
  <si>
    <t xml:space="preserve">Bitácora de cambios</t>
  </si>
  <si>
    <t xml:space="preserve">Una fila por cada cambio de estado. Así queda el rastro de quién movió qué y por qué.</t>
  </si>
  <si>
    <t xml:space="preserve">Fecha</t>
  </si>
  <si>
    <t xml:space="preserve">Estado anterior</t>
  </si>
  <si>
    <t xml:space="preserve">Estado nuevo</t>
  </si>
  <si>
    <t xml:space="preserve">Quién</t>
  </si>
  <si>
    <t xml:space="preserve">Comentario / evidencia (commit, PR, captura)</t>
  </si>
  <si>
    <t xml:space="preserve">—</t>
  </si>
  <si>
    <t xml:space="preserve">Agente (Claude Code)</t>
  </si>
  <si>
    <t xml:space="preserve">Creación del seguimiento: revisión de los planes 01 a 21 contra el código de main.</t>
  </si>
  <si>
    <t xml:space="preserve">P02-01, P19, P22</t>
  </si>
  <si>
    <t xml:space="preserve">Plan 22 (panel interno y funciones por tienda): se agregan sus fases, dos decisiones de métricas, el hallazgo de seguridad de las rutas de tienda y el error de la columna fecha_creacion en la métrica de activación.</t>
  </si>
  <si>
    <t xml:space="preserve">P22-06, P22-07</t>
  </si>
  <si>
    <t xml:space="preserve">Luis</t>
  </si>
  <si>
    <t xml:space="preserve">Decisiones de métricas: activación = al menos 20 productos y ventas en 5 de los primeros 7 días; los días de apertura se preguntan en el registro.</t>
  </si>
  <si>
    <t xml:space="preserve">P21-01, P22-01, P21-09 a P21-13, P22-09, P22-10</t>
  </si>
  <si>
    <t xml:space="preserve">R0 del plan 21 terminado en la rama test/plan21-r0-caracterizacion (48 pruebas, sin cambios de producción, sin merge). I0 pasa a En progreso y se amplía a auditoría de autorización. Se agregan los hallazgos de R0: egresos entre tiendas, verify-reset-code sin limitador, recepción sin tope, contadores compartidos en las pruebas (resuelto en la rama), código muerto en bulkUpload y skip inerte de globalLimiter.</t>
  </si>
  <si>
    <t xml:space="preserve">Cómo usar este archivo</t>
  </si>
  <si>
    <t xml:space="preserve">Nadie ha empezado.</t>
  </si>
  <si>
    <t xml:space="preserve">Alguien está trabajando en esto ahora (anote el responsable).</t>
  </si>
  <si>
    <t xml:space="preserve">Existe una parte; la fila explica qué falta.</t>
  </si>
  <si>
    <t xml:space="preserve">Hecho y verificado. Anote la evidencia en la Bitácora.</t>
  </si>
  <si>
    <t xml:space="preserve">No se puede avanzar hasta que se resuelva otra cosa (anótela en Notas).</t>
  </si>
  <si>
    <t xml:space="preserve">Se decidió no hacerlo; la fila dice por qué.</t>
  </si>
  <si>
    <t xml:space="preserve">Puede estar hecho, pero hay que comprobarlo (por ejemplo, en producción).</t>
  </si>
  <si>
    <t xml:space="preserve">Algo que el plan proponía hacer.</t>
  </si>
  <si>
    <t xml:space="preserve">Un problema que el plan encontró de pasada, sin corregir.</t>
  </si>
  <si>
    <t xml:space="preserve">Idea para después del lanzamiento o de la entrega académica.</t>
  </si>
  <si>
    <t xml:space="preserve">Hace falta que el equipo decida antes de implementar.</t>
  </si>
  <si>
    <t xml:space="preserve">El documento del plan quedó desactualizado frente al código.</t>
  </si>
  <si>
    <t xml:space="preserve">Plan 19, tercer pendiente. Las filas nuevas pueden seguir la misma regla.</t>
  </si>
  <si>
    <t xml:space="preserve">Fórmula</t>
  </si>
  <si>
    <t xml:space="preserve">Días desde la última actualización; sirve para ver lo que quedó olvidado.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</si>
</sst>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%"/>
    <numFmt numFmtId="167" formatCode="dd\-mm\-yyyy"/>
    <numFmt numFmtId="168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4173F"/>
      <name val="Arial"/>
      <family val="0"/>
      <charset val="1"/>
    </font>
    <font>
      <i val="true"/>
      <sz val="9"/>
      <color rgb="FF3A3F6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3A3F6E"/>
      <name val="Arial"/>
      <family val="0"/>
      <charset val="1"/>
    </font>
    <font>
      <sz val="10"/>
      <color rgb="FF14173F"/>
      <name val="Arial"/>
      <family val="0"/>
      <charset val="1"/>
    </font>
    <font>
      <b val="true"/>
      <sz val="11"/>
      <color rgb="FF252C93"/>
      <name val="Arial"/>
      <family val="0"/>
      <charset val="1"/>
    </font>
    <font>
      <b val="true"/>
      <sz val="11"/>
      <color rgb="FF8A5300"/>
      <name val="Arial"/>
      <family val="0"/>
      <charset val="1"/>
    </font>
    <font>
      <b val="true"/>
      <sz val="11"/>
      <color rgb="FF0B6B45"/>
      <name val="Arial"/>
      <family val="0"/>
      <charset val="1"/>
    </font>
    <font>
      <b val="true"/>
      <sz val="11"/>
      <color rgb="FFB42A26"/>
      <name val="Arial"/>
      <family val="0"/>
      <charset val="1"/>
    </font>
    <font>
      <b val="true"/>
      <sz val="11"/>
      <color rgb="FF6B6B6B"/>
      <name val="Arial"/>
      <family val="0"/>
      <charset val="1"/>
    </font>
    <font>
      <b val="true"/>
      <sz val="11"/>
      <color rgb="FF14173F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4173F"/>
        <bgColor rgb="FF000000"/>
      </patternFill>
    </fill>
    <fill>
      <patternFill patternType="solid">
        <fgColor rgb="FFF1F2F6"/>
        <bgColor rgb="FFE6E6E6"/>
      </patternFill>
    </fill>
    <fill>
      <patternFill patternType="solid">
        <fgColor rgb="FFDCE0F7"/>
        <bgColor rgb="FFE6E6E6"/>
      </patternFill>
    </fill>
    <fill>
      <patternFill patternType="solid">
        <fgColor rgb="FFFFF1BF"/>
        <bgColor rgb="FFFFE8C7"/>
      </patternFill>
    </fill>
    <fill>
      <patternFill patternType="solid">
        <fgColor rgb="FFD6EEE3"/>
        <bgColor rgb="FFE6E6E6"/>
      </patternFill>
    </fill>
    <fill>
      <patternFill patternType="solid">
        <fgColor rgb="FFF7DAD9"/>
        <bgColor rgb="FFFFE8C7"/>
      </patternFill>
    </fill>
    <fill>
      <patternFill patternType="solid">
        <fgColor rgb="FFE6E6E6"/>
        <bgColor rgb="FFDCE0F7"/>
      </patternFill>
    </fill>
    <fill>
      <patternFill patternType="solid">
        <fgColor rgb="FFFFE8C7"/>
        <bgColor rgb="FFFFF1B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E3"/>
      </left>
      <right style="thin">
        <color rgb="FFC9CEE3"/>
      </right>
      <top style="thin">
        <color rgb="FFC9CEE3"/>
      </top>
      <bottom style="thin">
        <color rgb="FFC9CE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2">
    <dxf>
      <font>
        <name val="Arial"/>
        <charset val="1"/>
        <family val="0"/>
        <b val="1"/>
        <color rgb="FF252C93"/>
      </font>
    </dxf>
    <dxf>
      <fill>
        <patternFill patternType="solid">
          <fgColor rgb="FF14173F"/>
          <bgColor rgb="FF000000"/>
        </patternFill>
      </fill>
    </dxf>
    <dxf>
      <fill>
        <patternFill patternType="solid">
          <fgColor rgb="FFD6EEE3"/>
          <bgColor rgb="FF000000"/>
        </patternFill>
      </fill>
    </dxf>
    <dxf>
      <fill>
        <patternFill patternType="solid">
          <fgColor rgb="FFDCE0F7"/>
          <bgColor rgb="FF000000"/>
        </patternFill>
      </fill>
    </dxf>
    <dxf>
      <fill>
        <patternFill patternType="solid">
          <fgColor rgb="FFE6E6E6"/>
          <bgColor rgb="FF000000"/>
        </patternFill>
      </fill>
    </dxf>
    <dxf>
      <fill>
        <patternFill patternType="solid">
          <fgColor rgb="FFF1F2F6"/>
          <bgColor rgb="FF000000"/>
        </patternFill>
      </fill>
    </dxf>
    <dxf>
      <fill>
        <patternFill patternType="solid">
          <fgColor rgb="FFFFE8C7"/>
          <bgColor rgb="FF000000"/>
        </patternFill>
      </fill>
    </dxf>
    <dxf>
      <fill>
        <patternFill patternType="solid">
          <fgColor rgb="FFFFF1BF"/>
          <bgColor rgb="FF000000"/>
        </patternFill>
      </fill>
    </dxf>
    <dxf>
      <fill>
        <patternFill patternType="solid">
          <fgColor rgb="FF0B6B45"/>
          <bgColor rgb="FF000000"/>
        </patternFill>
      </fill>
    </dxf>
    <dxf>
      <fill>
        <patternFill patternType="solid">
          <fgColor rgb="FF252C93"/>
          <bgColor rgb="FF000000"/>
        </patternFill>
      </fill>
    </dxf>
    <dxf>
      <fill>
        <patternFill patternType="solid">
          <fgColor rgb="FF3A3F6E"/>
          <bgColor rgb="FF000000"/>
        </patternFill>
      </fill>
    </dxf>
    <dxf>
      <fill>
        <patternFill patternType="solid">
          <fgColor rgb="FF6B6B6B"/>
          <bgColor rgb="FF000000"/>
        </patternFill>
      </fill>
    </dxf>
    <dxf>
      <fill>
        <patternFill patternType="solid">
          <fgColor rgb="FF8A53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name val="Arial"/>
        <charset val="1"/>
        <family val="0"/>
        <strike val="0"/>
        <color rgb="FF3A3F6E"/>
      </font>
      <fill>
        <patternFill>
          <bgColor rgb="FFF1F2F6"/>
        </patternFill>
      </fill>
    </dxf>
    <dxf>
      <font>
        <name val="Arial"/>
        <charset val="1"/>
        <family val="0"/>
        <strike val="0"/>
        <color rgb="FF252C93"/>
      </font>
      <fill>
        <patternFill>
          <bgColor rgb="FFDCE0F7"/>
        </patternFill>
      </fill>
    </dxf>
    <dxf>
      <font>
        <name val="Arial"/>
        <charset val="1"/>
        <family val="0"/>
        <strike val="0"/>
        <color rgb="FF8A5300"/>
      </font>
      <fill>
        <patternFill>
          <bgColor rgb="FFFFF1BF"/>
        </patternFill>
      </fill>
    </dxf>
    <dxf>
      <font>
        <name val="Arial"/>
        <charset val="1"/>
        <family val="0"/>
        <strike val="0"/>
        <color rgb="FF0B6B45"/>
      </font>
      <fill>
        <patternFill>
          <bgColor rgb="FFD6EEE3"/>
        </patternFill>
      </fill>
    </dxf>
    <dxf>
      <font>
        <name val="Arial"/>
        <charset val="1"/>
        <family val="0"/>
        <strike val="0"/>
        <color rgb="FFB42A26"/>
      </font>
      <fill>
        <patternFill>
          <bgColor rgb="FFF7DAD9"/>
        </patternFill>
      </fill>
    </dxf>
    <dxf>
      <font>
        <name val="Arial"/>
        <charset val="1"/>
        <family val="0"/>
        <strike val="1"/>
        <color rgb="FF6B6B6B"/>
      </font>
      <fill>
        <patternFill>
          <bgColor rgb="FFE6E6E6"/>
        </patternFill>
      </fill>
    </dxf>
    <dxf>
      <font>
        <name val="Arial"/>
        <charset val="1"/>
        <family val="0"/>
        <strike val="0"/>
        <color rgb="FF8A5300"/>
      </font>
      <fill>
        <patternFill>
          <bgColor rgb="FFFFE8C7"/>
        </patternFill>
      </fill>
    </dxf>
    <dxf>
      <font>
        <name val="Arial"/>
        <charset val="1"/>
        <family val="0"/>
        <b val="1"/>
        <color rgb="FFB42A26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300"/>
      <rgbColor rgb="FF800080"/>
      <rgbColor rgb="FF0B6B45"/>
      <rgbColor rgb="FFDCE0F7"/>
      <rgbColor rgb="FF808080"/>
      <rgbColor rgb="FF9999FF"/>
      <rgbColor rgb="FF993366"/>
      <rgbColor rgb="FFFFF1BF"/>
      <rgbColor rgb="FFF1F2F6"/>
      <rgbColor rgb="FF660066"/>
      <rgbColor rgb="FFFF8080"/>
      <rgbColor rgb="FF0066CC"/>
      <rgbColor rgb="FFC9CE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E6E6"/>
      <rgbColor rgb="FFD6EEE3"/>
      <rgbColor rgb="FFFFE8C7"/>
      <rgbColor rgb="FF99CCFF"/>
      <rgbColor rgb="FFFF99CC"/>
      <rgbColor rgb="FFCC99FF"/>
      <rgbColor rgb="FFF7DAD9"/>
      <rgbColor rgb="FF3366FF"/>
      <rgbColor rgb="FF33CCCC"/>
      <rgbColor rgb="FF99CC00"/>
      <rgbColor rgb="FFFFD84A"/>
      <rgbColor rgb="FFFF9900"/>
      <rgbColor rgb="FFFF6600"/>
      <rgbColor rgb="FF6B6B6B"/>
      <rgbColor rgb="FF969696"/>
      <rgbColor rgb="FF14173F"/>
      <rgbColor rgb="FF339966"/>
      <rgbColor rgb="FF003300"/>
      <rgbColor rgb="FF333300"/>
      <rgbColor rgb="FFB42A26"/>
      <rgbColor rgb="FF993366"/>
      <rgbColor rgb="FF252C93"/>
      <rgbColor rgb="FF3A3F6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84A"/>
    <pageSetUpPr fitToPage="false"/>
  </sheetPr>
  <dimension ref="A1:J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1"/>
    <col collapsed="false" customWidth="true" hidden="false" outlineLevel="0" max="4" min="4" style="0" width="3"/>
    <col collapsed="false" customWidth="true" hidden="false" outlineLevel="0" max="5" min="5" style="0" width="7"/>
    <col collapsed="false" customWidth="true" hidden="false" outlineLevel="0" max="6" min="6" style="0" width="34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</row>
    <row r="5" customFormat="false" ht="15" hidden="false" customHeight="false" outlineLevel="0" collapsed="false">
      <c r="A5" s="4" t="s">
        <v>11</v>
      </c>
      <c r="B5" s="5" t="n">
        <f aca="false">COUNTIF(Pendientes!$F$5:$F$294,A5)</f>
        <v>62</v>
      </c>
      <c r="C5" s="6" t="n">
        <f aca="false">IF($B$12=0,0,B5/$B$12)</f>
        <v>0.688888888888889</v>
      </c>
      <c r="E5" s="7" t="s">
        <v>12</v>
      </c>
      <c r="F5" s="5" t="s">
        <v>13</v>
      </c>
      <c r="G5" s="5" t="n">
        <f aca="false">COUNTIFS(Pendientes!$B$5:$B$294,E5,Pendientes!$F$5:$F$294,"&lt;&gt;Terminado",Pendientes!$F$5:$F$294,"&lt;&gt;Descartado")-COUNTIFS(Pendientes!$B$5:$B$294,E5,Pendientes!$F$5:$F$294,"")</f>
        <v>1</v>
      </c>
      <c r="H5" s="5" t="n">
        <f aca="false">COUNTIFS(Pendientes!$B$5:$B$294,E5,Pendientes!$F$5:$F$294,"Terminado")</f>
        <v>0</v>
      </c>
      <c r="I5" s="5" t="n">
        <f aca="false">COUNTIFS(Pendientes!$B$5:$B$294,E5,Pendientes!$F$5:$F$294,"Descartado")</f>
        <v>0</v>
      </c>
      <c r="J5" s="5" t="n">
        <f aca="false">COUNTIF(Pendientes!$B$5:$B$294,E5)</f>
        <v>1</v>
      </c>
    </row>
    <row r="6" customFormat="false" ht="15" hidden="false" customHeight="false" outlineLevel="0" collapsed="false">
      <c r="A6" s="8" t="s">
        <v>14</v>
      </c>
      <c r="B6" s="5" t="n">
        <f aca="false">COUNTIF(Pendientes!$F$5:$F$294,A6)</f>
        <v>1</v>
      </c>
      <c r="C6" s="6" t="n">
        <f aca="false">IF($B$12=0,0,B6/$B$12)</f>
        <v>0.0111111111111111</v>
      </c>
      <c r="E6" s="7" t="s">
        <v>15</v>
      </c>
      <c r="F6" s="5" t="s">
        <v>16</v>
      </c>
      <c r="G6" s="5" t="n">
        <f aca="false">COUNTIFS(Pendientes!$B$5:$B$294,E6,Pendientes!$F$5:$F$294,"&lt;&gt;Terminado",Pendientes!$F$5:$F$294,"&lt;&gt;Descartado")-COUNTIFS(Pendientes!$B$5:$B$294,E6,Pendientes!$F$5:$F$294,"")</f>
        <v>4</v>
      </c>
      <c r="H6" s="5" t="n">
        <f aca="false">COUNTIFS(Pendientes!$B$5:$B$294,E6,Pendientes!$F$5:$F$294,"Terminado")</f>
        <v>1</v>
      </c>
      <c r="I6" s="5" t="n">
        <f aca="false">COUNTIFS(Pendientes!$B$5:$B$294,E6,Pendientes!$F$5:$F$294,"Descartado")</f>
        <v>0</v>
      </c>
      <c r="J6" s="5" t="n">
        <f aca="false">COUNTIF(Pendientes!$B$5:$B$294,E6)</f>
        <v>5</v>
      </c>
    </row>
    <row r="7" customFormat="false" ht="15" hidden="false" customHeight="false" outlineLevel="0" collapsed="false">
      <c r="A7" s="9" t="s">
        <v>17</v>
      </c>
      <c r="B7" s="5" t="n">
        <f aca="false">COUNTIF(Pendientes!$F$5:$F$294,A7)</f>
        <v>5</v>
      </c>
      <c r="C7" s="6" t="n">
        <f aca="false">IF($B$12=0,0,B7/$B$12)</f>
        <v>0.0555555555555556</v>
      </c>
      <c r="E7" s="7" t="s">
        <v>18</v>
      </c>
      <c r="F7" s="5" t="s">
        <v>19</v>
      </c>
      <c r="G7" s="5" t="n">
        <f aca="false">COUNTIFS(Pendientes!$B$5:$B$294,E7,Pendientes!$F$5:$F$294,"&lt;&gt;Terminado",Pendientes!$F$5:$F$294,"&lt;&gt;Descartado")-COUNTIFS(Pendientes!$B$5:$B$294,E7,Pendientes!$F$5:$F$294,"")</f>
        <v>1</v>
      </c>
      <c r="H7" s="5" t="n">
        <f aca="false">COUNTIFS(Pendientes!$B$5:$B$294,E7,Pendientes!$F$5:$F$294,"Terminado")</f>
        <v>0</v>
      </c>
      <c r="I7" s="5" t="n">
        <f aca="false">COUNTIFS(Pendientes!$B$5:$B$294,E7,Pendientes!$F$5:$F$294,"Descartado")</f>
        <v>0</v>
      </c>
      <c r="J7" s="5" t="n">
        <f aca="false">COUNTIF(Pendientes!$B$5:$B$294,E7)</f>
        <v>1</v>
      </c>
    </row>
    <row r="8" customFormat="false" ht="15" hidden="false" customHeight="false" outlineLevel="0" collapsed="false">
      <c r="A8" s="10" t="s">
        <v>20</v>
      </c>
      <c r="B8" s="5" t="n">
        <f aca="false">COUNTIF(Pendientes!$F$5:$F$294,A8)</f>
        <v>13</v>
      </c>
      <c r="C8" s="6" t="n">
        <f aca="false">IF($B$12=0,0,B8/$B$12)</f>
        <v>0.144444444444444</v>
      </c>
      <c r="E8" s="7" t="s">
        <v>21</v>
      </c>
      <c r="F8" s="5" t="s">
        <v>22</v>
      </c>
      <c r="G8" s="5" t="n">
        <f aca="false">COUNTIFS(Pendientes!$B$5:$B$294,E8,Pendientes!$F$5:$F$294,"&lt;&gt;Terminado",Pendientes!$F$5:$F$294,"&lt;&gt;Descartado")-COUNTIFS(Pendientes!$B$5:$B$294,E8,Pendientes!$F$5:$F$294,"")</f>
        <v>1</v>
      </c>
      <c r="H8" s="5" t="n">
        <f aca="false">COUNTIFS(Pendientes!$B$5:$B$294,E8,Pendientes!$F$5:$F$294,"Terminado")</f>
        <v>1</v>
      </c>
      <c r="I8" s="5" t="n">
        <f aca="false">COUNTIFS(Pendientes!$B$5:$B$294,E8,Pendientes!$F$5:$F$294,"Descartado")</f>
        <v>0</v>
      </c>
      <c r="J8" s="5" t="n">
        <f aca="false">COUNTIF(Pendientes!$B$5:$B$294,E8)</f>
        <v>2</v>
      </c>
    </row>
    <row r="9" customFormat="false" ht="15" hidden="false" customHeight="false" outlineLevel="0" collapsed="false">
      <c r="A9" s="11" t="s">
        <v>23</v>
      </c>
      <c r="B9" s="5" t="n">
        <f aca="false">COUNTIF(Pendientes!$F$5:$F$294,A9)</f>
        <v>0</v>
      </c>
      <c r="C9" s="6" t="n">
        <f aca="false">IF($B$12=0,0,B9/$B$12)</f>
        <v>0</v>
      </c>
      <c r="E9" s="7" t="s">
        <v>24</v>
      </c>
      <c r="F9" s="5" t="s">
        <v>25</v>
      </c>
      <c r="G9" s="5" t="n">
        <f aca="false">COUNTIFS(Pendientes!$B$5:$B$294,E9,Pendientes!$F$5:$F$294,"&lt;&gt;Terminado",Pendientes!$F$5:$F$294,"&lt;&gt;Descartado")-COUNTIFS(Pendientes!$B$5:$B$294,E9,Pendientes!$F$5:$F$294,"")</f>
        <v>1</v>
      </c>
      <c r="H9" s="5" t="n">
        <f aca="false">COUNTIFS(Pendientes!$B$5:$B$294,E9,Pendientes!$F$5:$F$294,"Terminado")</f>
        <v>0</v>
      </c>
      <c r="I9" s="5" t="n">
        <f aca="false">COUNTIFS(Pendientes!$B$5:$B$294,E9,Pendientes!$F$5:$F$294,"Descartado")</f>
        <v>0</v>
      </c>
      <c r="J9" s="5" t="n">
        <f aca="false">COUNTIF(Pendientes!$B$5:$B$294,E9)</f>
        <v>1</v>
      </c>
    </row>
    <row r="10" customFormat="false" ht="15" hidden="false" customHeight="false" outlineLevel="0" collapsed="false">
      <c r="A10" s="12" t="s">
        <v>26</v>
      </c>
      <c r="B10" s="5" t="n">
        <f aca="false">COUNTIF(Pendientes!$F$5:$F$294,A10)</f>
        <v>3</v>
      </c>
      <c r="C10" s="6" t="n">
        <f aca="false">IF($B$12=0,0,B10/$B$12)</f>
        <v>0.0333333333333333</v>
      </c>
      <c r="E10" s="7" t="s">
        <v>27</v>
      </c>
      <c r="F10" s="5" t="s">
        <v>28</v>
      </c>
      <c r="G10" s="5" t="n">
        <f aca="false">COUNTIFS(Pendientes!$B$5:$B$294,E10,Pendientes!$F$5:$F$294,"&lt;&gt;Terminado",Pendientes!$F$5:$F$294,"&lt;&gt;Descartado")-COUNTIFS(Pendientes!$B$5:$B$294,E10,Pendientes!$F$5:$F$294,"")</f>
        <v>7</v>
      </c>
      <c r="H10" s="5" t="n">
        <f aca="false">COUNTIFS(Pendientes!$B$5:$B$294,E10,Pendientes!$F$5:$F$294,"Terminado")</f>
        <v>2</v>
      </c>
      <c r="I10" s="5" t="n">
        <f aca="false">COUNTIFS(Pendientes!$B$5:$B$294,E10,Pendientes!$F$5:$F$294,"Descartado")</f>
        <v>0</v>
      </c>
      <c r="J10" s="5" t="n">
        <f aca="false">COUNTIF(Pendientes!$B$5:$B$294,E10)</f>
        <v>9</v>
      </c>
    </row>
    <row r="11" customFormat="false" ht="15" hidden="false" customHeight="false" outlineLevel="0" collapsed="false">
      <c r="A11" s="13" t="s">
        <v>29</v>
      </c>
      <c r="B11" s="5" t="n">
        <f aca="false">COUNTIF(Pendientes!$F$5:$F$294,A11)</f>
        <v>6</v>
      </c>
      <c r="C11" s="6" t="n">
        <f aca="false">IF($B$12=0,0,B11/$B$12)</f>
        <v>0.0666666666666667</v>
      </c>
      <c r="E11" s="7" t="s">
        <v>30</v>
      </c>
      <c r="F11" s="5" t="s">
        <v>31</v>
      </c>
      <c r="G11" s="5" t="n">
        <f aca="false">COUNTIFS(Pendientes!$B$5:$B$294,E11,Pendientes!$F$5:$F$294,"&lt;&gt;Terminado",Pendientes!$F$5:$F$294,"&lt;&gt;Descartado")-COUNTIFS(Pendientes!$B$5:$B$294,E11,Pendientes!$F$5:$F$294,"")</f>
        <v>6</v>
      </c>
      <c r="H11" s="5" t="n">
        <f aca="false">COUNTIFS(Pendientes!$B$5:$B$294,E11,Pendientes!$F$5:$F$294,"Terminado")</f>
        <v>0</v>
      </c>
      <c r="I11" s="5" t="n">
        <f aca="false">COUNTIFS(Pendientes!$B$5:$B$294,E11,Pendientes!$F$5:$F$294,"Descartado")</f>
        <v>0</v>
      </c>
      <c r="J11" s="5" t="n">
        <f aca="false">COUNTIF(Pendientes!$B$5:$B$294,E11)</f>
        <v>6</v>
      </c>
    </row>
    <row r="12" customFormat="false" ht="15" hidden="false" customHeight="false" outlineLevel="0" collapsed="false">
      <c r="A12" s="14" t="s">
        <v>10</v>
      </c>
      <c r="B12" s="14" t="n">
        <f aca="false">SUM(B5:B11)</f>
        <v>90</v>
      </c>
      <c r="E12" s="7" t="s">
        <v>32</v>
      </c>
      <c r="F12" s="5" t="s">
        <v>33</v>
      </c>
      <c r="G12" s="5" t="n">
        <f aca="false">COUNTIFS(Pendientes!$B$5:$B$294,E12,Pendientes!$F$5:$F$294,"&lt;&gt;Terminado",Pendientes!$F$5:$F$294,"&lt;&gt;Descartado")-COUNTIFS(Pendientes!$B$5:$B$294,E12,Pendientes!$F$5:$F$294,"")</f>
        <v>4</v>
      </c>
      <c r="H12" s="5" t="n">
        <f aca="false">COUNTIFS(Pendientes!$B$5:$B$294,E12,Pendientes!$F$5:$F$294,"Terminado")</f>
        <v>0</v>
      </c>
      <c r="I12" s="5" t="n">
        <f aca="false">COUNTIFS(Pendientes!$B$5:$B$294,E12,Pendientes!$F$5:$F$294,"Descartado")</f>
        <v>0</v>
      </c>
      <c r="J12" s="5" t="n">
        <f aca="false">COUNTIF(Pendientes!$B$5:$B$294,E12)</f>
        <v>4</v>
      </c>
    </row>
    <row r="13" customFormat="false" ht="15" hidden="false" customHeight="false" outlineLevel="0" collapsed="false">
      <c r="A13" s="15" t="s">
        <v>34</v>
      </c>
      <c r="B13" s="15" t="n">
        <f aca="false">B12-B8-B10</f>
        <v>74</v>
      </c>
      <c r="E13" s="7" t="s">
        <v>35</v>
      </c>
      <c r="F13" s="5" t="s">
        <v>36</v>
      </c>
      <c r="G13" s="5" t="n">
        <f aca="false">COUNTIFS(Pendientes!$B$5:$B$294,E13,Pendientes!$F$5:$F$294,"&lt;&gt;Terminado",Pendientes!$F$5:$F$294,"&lt;&gt;Descartado")-COUNTIFS(Pendientes!$B$5:$B$294,E13,Pendientes!$F$5:$F$294,"")</f>
        <v>1</v>
      </c>
      <c r="H13" s="5" t="n">
        <f aca="false">COUNTIFS(Pendientes!$B$5:$B$294,E13,Pendientes!$F$5:$F$294,"Terminado")</f>
        <v>1</v>
      </c>
      <c r="I13" s="5" t="n">
        <f aca="false">COUNTIFS(Pendientes!$B$5:$B$294,E13,Pendientes!$F$5:$F$294,"Descartado")</f>
        <v>0</v>
      </c>
      <c r="J13" s="5" t="n">
        <f aca="false">COUNTIF(Pendientes!$B$5:$B$294,E13)</f>
        <v>2</v>
      </c>
    </row>
    <row r="14" customFormat="false" ht="15" hidden="false" customHeight="false" outlineLevel="0" collapsed="false">
      <c r="A14" s="16" t="s">
        <v>37</v>
      </c>
      <c r="B14" s="16" t="n">
        <f aca="false">COUNTIFS(Pendientes!$G$5:$G$294,"Alta",Pendientes!$F$5:$F$294,"&lt;&gt;Terminado",Pendientes!$F$5:$F$294,"&lt;&gt;Descartado")</f>
        <v>16</v>
      </c>
      <c r="E14" s="7" t="s">
        <v>38</v>
      </c>
      <c r="F14" s="5" t="s">
        <v>39</v>
      </c>
      <c r="G14" s="5" t="n">
        <f aca="false">COUNTIFS(Pendientes!$B$5:$B$294,E14,Pendientes!$F$5:$F$294,"&lt;&gt;Terminado",Pendientes!$F$5:$F$294,"&lt;&gt;Descartado")-COUNTIFS(Pendientes!$B$5:$B$294,E14,Pendientes!$F$5:$F$294,"")</f>
        <v>3</v>
      </c>
      <c r="H14" s="5" t="n">
        <f aca="false">COUNTIFS(Pendientes!$B$5:$B$294,E14,Pendientes!$F$5:$F$294,"Terminado")</f>
        <v>1</v>
      </c>
      <c r="I14" s="5" t="n">
        <f aca="false">COUNTIFS(Pendientes!$B$5:$B$294,E14,Pendientes!$F$5:$F$294,"Descartado")</f>
        <v>0</v>
      </c>
      <c r="J14" s="5" t="n">
        <f aca="false">COUNTIF(Pendientes!$B$5:$B$294,E14)</f>
        <v>4</v>
      </c>
    </row>
    <row r="15" customFormat="false" ht="15" hidden="false" customHeight="false" outlineLevel="0" collapsed="false">
      <c r="E15" s="7" t="s">
        <v>40</v>
      </c>
      <c r="F15" s="5" t="s">
        <v>41</v>
      </c>
      <c r="G15" s="5" t="n">
        <f aca="false">COUNTIFS(Pendientes!$B$5:$B$294,E15,Pendientes!$F$5:$F$294,"&lt;&gt;Terminado",Pendientes!$F$5:$F$294,"&lt;&gt;Descartado")-COUNTIFS(Pendientes!$B$5:$B$294,E15,Pendientes!$F$5:$F$294,"")</f>
        <v>1</v>
      </c>
      <c r="H15" s="5" t="n">
        <f aca="false">COUNTIFS(Pendientes!$B$5:$B$294,E15,Pendientes!$F$5:$F$294,"Terminado")</f>
        <v>0</v>
      </c>
      <c r="I15" s="5" t="n">
        <f aca="false">COUNTIFS(Pendientes!$B$5:$B$294,E15,Pendientes!$F$5:$F$294,"Descartado")</f>
        <v>0</v>
      </c>
      <c r="J15" s="5" t="n">
        <f aca="false">COUNTIF(Pendientes!$B$5:$B$294,E15)</f>
        <v>1</v>
      </c>
    </row>
    <row r="16" customFormat="false" ht="15" hidden="false" customHeight="false" outlineLevel="0" collapsed="false">
      <c r="A16" s="2" t="s">
        <v>42</v>
      </c>
      <c r="E16" s="7" t="s">
        <v>43</v>
      </c>
      <c r="F16" s="5" t="s">
        <v>44</v>
      </c>
      <c r="G16" s="5" t="n">
        <f aca="false">COUNTIFS(Pendientes!$B$5:$B$294,E16,Pendientes!$F$5:$F$294,"&lt;&gt;Terminado",Pendientes!$F$5:$F$294,"&lt;&gt;Descartado")-COUNTIFS(Pendientes!$B$5:$B$294,E16,Pendientes!$F$5:$F$294,"")</f>
        <v>2</v>
      </c>
      <c r="H16" s="5" t="n">
        <f aca="false">COUNTIFS(Pendientes!$B$5:$B$294,E16,Pendientes!$F$5:$F$294,"Terminado")</f>
        <v>1</v>
      </c>
      <c r="I16" s="5" t="n">
        <f aca="false">COUNTIFS(Pendientes!$B$5:$B$294,E16,Pendientes!$F$5:$F$294,"Descartado")</f>
        <v>1</v>
      </c>
      <c r="J16" s="5" t="n">
        <f aca="false">COUNTIF(Pendientes!$B$5:$B$294,E16)</f>
        <v>4</v>
      </c>
    </row>
    <row r="17" customFormat="false" ht="15" hidden="false" customHeight="false" outlineLevel="0" collapsed="false">
      <c r="E17" s="7" t="s">
        <v>45</v>
      </c>
      <c r="F17" s="5" t="s">
        <v>46</v>
      </c>
      <c r="G17" s="5" t="n">
        <f aca="false">COUNTIFS(Pendientes!$B$5:$B$294,E17,Pendientes!$F$5:$F$294,"&lt;&gt;Terminado",Pendientes!$F$5:$F$294,"&lt;&gt;Descartado")-COUNTIFS(Pendientes!$B$5:$B$294,E17,Pendientes!$F$5:$F$294,"")</f>
        <v>1</v>
      </c>
      <c r="H17" s="5" t="n">
        <f aca="false">COUNTIFS(Pendientes!$B$5:$B$294,E17,Pendientes!$F$5:$F$294,"Terminado")</f>
        <v>1</v>
      </c>
      <c r="I17" s="5" t="n">
        <f aca="false">COUNTIFS(Pendientes!$B$5:$B$294,E17,Pendientes!$F$5:$F$294,"Descartado")</f>
        <v>0</v>
      </c>
      <c r="J17" s="5" t="n">
        <f aca="false">COUNTIF(Pendientes!$B$5:$B$294,E17)</f>
        <v>2</v>
      </c>
    </row>
    <row r="18" customFormat="false" ht="15" hidden="false" customHeight="false" outlineLevel="0" collapsed="false">
      <c r="E18" s="7" t="s">
        <v>47</v>
      </c>
      <c r="F18" s="5" t="s">
        <v>48</v>
      </c>
      <c r="G18" s="5" t="n">
        <f aca="false">COUNTIFS(Pendientes!$B$5:$B$294,E18,Pendientes!$F$5:$F$294,"&lt;&gt;Terminado",Pendientes!$F$5:$F$294,"&lt;&gt;Descartado")-COUNTIFS(Pendientes!$B$5:$B$294,E18,Pendientes!$F$5:$F$294,"")</f>
        <v>1</v>
      </c>
      <c r="H18" s="5" t="n">
        <f aca="false">COUNTIFS(Pendientes!$B$5:$B$294,E18,Pendientes!$F$5:$F$294,"Terminado")</f>
        <v>0</v>
      </c>
      <c r="I18" s="5" t="n">
        <f aca="false">COUNTIFS(Pendientes!$B$5:$B$294,E18,Pendientes!$F$5:$F$294,"Descartado")</f>
        <v>1</v>
      </c>
      <c r="J18" s="5" t="n">
        <f aca="false">COUNTIF(Pendientes!$B$5:$B$294,E18)</f>
        <v>2</v>
      </c>
    </row>
    <row r="19" customFormat="false" ht="15" hidden="false" customHeight="false" outlineLevel="0" collapsed="false">
      <c r="E19" s="7" t="s">
        <v>49</v>
      </c>
      <c r="F19" s="5" t="s">
        <v>50</v>
      </c>
      <c r="G19" s="5" t="n">
        <f aca="false">COUNTIFS(Pendientes!$B$5:$B$294,E19,Pendientes!$F$5:$F$294,"&lt;&gt;Terminado",Pendientes!$F$5:$F$294,"&lt;&gt;Descartado")-COUNTIFS(Pendientes!$B$5:$B$294,E19,Pendientes!$F$5:$F$294,"")</f>
        <v>1</v>
      </c>
      <c r="H19" s="5" t="n">
        <f aca="false">COUNTIFS(Pendientes!$B$5:$B$294,E19,Pendientes!$F$5:$F$294,"Terminado")</f>
        <v>1</v>
      </c>
      <c r="I19" s="5" t="n">
        <f aca="false">COUNTIFS(Pendientes!$B$5:$B$294,E19,Pendientes!$F$5:$F$294,"Descartado")</f>
        <v>1</v>
      </c>
      <c r="J19" s="5" t="n">
        <f aca="false">COUNTIF(Pendientes!$B$5:$B$294,E19)</f>
        <v>3</v>
      </c>
    </row>
    <row r="20" customFormat="false" ht="15" hidden="false" customHeight="false" outlineLevel="0" collapsed="false">
      <c r="E20" s="7" t="s">
        <v>51</v>
      </c>
      <c r="F20" s="5" t="s">
        <v>52</v>
      </c>
      <c r="G20" s="5" t="n">
        <f aca="false">COUNTIFS(Pendientes!$B$5:$B$294,E20,Pendientes!$F$5:$F$294,"&lt;&gt;Terminado",Pendientes!$F$5:$F$294,"&lt;&gt;Descartado")-COUNTIFS(Pendientes!$B$5:$B$294,E20,Pendientes!$F$5:$F$294,"")</f>
        <v>1</v>
      </c>
      <c r="H20" s="5" t="n">
        <f aca="false">COUNTIFS(Pendientes!$B$5:$B$294,E20,Pendientes!$F$5:$F$294,"Terminado")</f>
        <v>1</v>
      </c>
      <c r="I20" s="5" t="n">
        <f aca="false">COUNTIFS(Pendientes!$B$5:$B$294,E20,Pendientes!$F$5:$F$294,"Descartado")</f>
        <v>0</v>
      </c>
      <c r="J20" s="5" t="n">
        <f aca="false">COUNTIF(Pendientes!$B$5:$B$294,E20)</f>
        <v>2</v>
      </c>
    </row>
    <row r="21" customFormat="false" ht="15" hidden="false" customHeight="false" outlineLevel="0" collapsed="false">
      <c r="E21" s="7" t="s">
        <v>53</v>
      </c>
      <c r="F21" s="5" t="s">
        <v>54</v>
      </c>
      <c r="G21" s="5" t="n">
        <f aca="false">COUNTIFS(Pendientes!$B$5:$B$294,E21,Pendientes!$F$5:$F$294,"&lt;&gt;Terminado",Pendientes!$F$5:$F$294,"&lt;&gt;Descartado")-COUNTIFS(Pendientes!$B$5:$B$294,E21,Pendientes!$F$5:$F$294,"")</f>
        <v>9</v>
      </c>
      <c r="H21" s="5" t="n">
        <f aca="false">COUNTIFS(Pendientes!$B$5:$B$294,E21,Pendientes!$F$5:$F$294,"Terminado")</f>
        <v>1</v>
      </c>
      <c r="I21" s="5" t="n">
        <f aca="false">COUNTIFS(Pendientes!$B$5:$B$294,E21,Pendientes!$F$5:$F$294,"Descartado")</f>
        <v>0</v>
      </c>
      <c r="J21" s="5" t="n">
        <f aca="false">COUNTIF(Pendientes!$B$5:$B$294,E21)</f>
        <v>10</v>
      </c>
    </row>
    <row r="22" customFormat="false" ht="15" hidden="false" customHeight="false" outlineLevel="0" collapsed="false">
      <c r="E22" s="7" t="s">
        <v>55</v>
      </c>
      <c r="F22" s="5" t="s">
        <v>56</v>
      </c>
      <c r="G22" s="5" t="n">
        <f aca="false">COUNTIFS(Pendientes!$B$5:$B$294,E22,Pendientes!$F$5:$F$294,"&lt;&gt;Terminado",Pendientes!$F$5:$F$294,"&lt;&gt;Descartado")-COUNTIFS(Pendientes!$B$5:$B$294,E22,Pendientes!$F$5:$F$294,"")</f>
        <v>6</v>
      </c>
      <c r="H22" s="5" t="n">
        <f aca="false">COUNTIFS(Pendientes!$B$5:$B$294,E22,Pendientes!$F$5:$F$294,"Terminado")</f>
        <v>0</v>
      </c>
      <c r="I22" s="5" t="n">
        <f aca="false">COUNTIFS(Pendientes!$B$5:$B$294,E22,Pendientes!$F$5:$F$294,"Descartado")</f>
        <v>0</v>
      </c>
      <c r="J22" s="5" t="n">
        <f aca="false">COUNTIF(Pendientes!$B$5:$B$294,E22)</f>
        <v>6</v>
      </c>
    </row>
    <row r="23" customFormat="false" ht="15" hidden="false" customHeight="false" outlineLevel="0" collapsed="false">
      <c r="E23" s="7" t="s">
        <v>57</v>
      </c>
      <c r="F23" s="5" t="s">
        <v>58</v>
      </c>
      <c r="G23" s="5" t="n">
        <f aca="false">COUNTIFS(Pendientes!$B$5:$B$294,E23,Pendientes!$F$5:$F$294,"&lt;&gt;Terminado",Pendientes!$F$5:$F$294,"&lt;&gt;Descartado")-COUNTIFS(Pendientes!$B$5:$B$294,E23,Pendientes!$F$5:$F$294,"")</f>
        <v>15</v>
      </c>
      <c r="H23" s="5" t="n">
        <f aca="false">COUNTIFS(Pendientes!$B$5:$B$294,E23,Pendientes!$F$5:$F$294,"Terminado")</f>
        <v>0</v>
      </c>
      <c r="I23" s="5" t="n">
        <f aca="false">COUNTIFS(Pendientes!$B$5:$B$294,E23,Pendientes!$F$5:$F$294,"Descartado")</f>
        <v>0</v>
      </c>
      <c r="J23" s="5" t="n">
        <f aca="false">COUNTIF(Pendientes!$B$5:$B$294,E23)</f>
        <v>15</v>
      </c>
    </row>
    <row r="24" customFormat="false" ht="15" hidden="false" customHeight="false" outlineLevel="0" collapsed="false">
      <c r="E24" s="7" t="s">
        <v>59</v>
      </c>
      <c r="F24" s="5" t="s">
        <v>60</v>
      </c>
      <c r="G24" s="5" t="n">
        <f aca="false">COUNTIFS(Pendientes!$B$5:$B$294,E24,Pendientes!$F$5:$F$294,"&lt;&gt;Terminado",Pendientes!$F$5:$F$294,"&lt;&gt;Descartado")-COUNTIFS(Pendientes!$B$5:$B$294,E24,Pendientes!$F$5:$F$294,"")</f>
        <v>8</v>
      </c>
      <c r="H24" s="5" t="n">
        <f aca="false">COUNTIFS(Pendientes!$B$5:$B$294,E24,Pendientes!$F$5:$F$294,"Terminado")</f>
        <v>2</v>
      </c>
      <c r="I24" s="5" t="n">
        <f aca="false">COUNTIFS(Pendientes!$B$5:$B$294,E24,Pendientes!$F$5:$F$294,"Descartado")</f>
        <v>0</v>
      </c>
      <c r="J24" s="5" t="n">
        <f aca="false">COUNTIF(Pendientes!$B$5:$B$294,E24)</f>
        <v>10</v>
      </c>
    </row>
  </sheetData>
  <conditionalFormatting sqref="G5:G24">
    <cfRule type="expression" priority="2" aboveAverage="0" equalAverage="0" bottom="0" percent="0" rank="0" text="" dxfId="0">
      <formula>G5&gt;0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52C93"/>
    <pageSetUpPr fitToPage="false"/>
  </sheetPr>
  <dimension ref="A1:L9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5"/>
    <col collapsed="false" customWidth="true" hidden="false" outlineLevel="0" max="4" min="4" style="0" width="60"/>
    <col collapsed="false" customWidth="true" hidden="false" outlineLevel="0" max="5" min="5" style="0" width="20"/>
    <col collapsed="false" customWidth="true" hidden="false" outlineLevel="0" max="6" min="6" style="0" width="14"/>
    <col collapsed="false" customWidth="true" hidden="false" outlineLevel="0" max="7" min="7" style="0" width="10"/>
    <col collapsed="false" customWidth="true" hidden="false" outlineLevel="0" max="8" min="8" style="0" width="55"/>
    <col collapsed="false" customWidth="true" hidden="false" outlineLevel="0" max="9" min="9" style="0" width="45"/>
    <col collapsed="false" customWidth="true" hidden="false" outlineLevel="0" max="10" min="10" style="0" width="18"/>
    <col collapsed="false" customWidth="true" hidden="false" outlineLevel="0" max="11" min="11" style="0" width="14"/>
    <col collapsed="false" customWidth="true" hidden="false" outlineLevel="0" max="12" min="12" style="0" width="12"/>
  </cols>
  <sheetData>
    <row r="1" customFormat="false" ht="17.35" hidden="false" customHeight="false" outlineLevel="0" collapsed="false">
      <c r="A1" s="1" t="s">
        <v>61</v>
      </c>
    </row>
    <row r="2" customFormat="false" ht="15" hidden="false" customHeight="false" outlineLevel="0" collapsed="false">
      <c r="A2" s="17" t="s">
        <v>62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</row>
    <row r="4" customFormat="false" ht="30" hidden="false" customHeight="true" outlineLevel="0" collapsed="false">
      <c r="A4" s="18" t="s">
        <v>63</v>
      </c>
      <c r="B4" s="18" t="s">
        <v>5</v>
      </c>
      <c r="C4" s="18" t="s">
        <v>64</v>
      </c>
      <c r="D4" s="18" t="s">
        <v>65</v>
      </c>
      <c r="E4" s="18" t="s">
        <v>66</v>
      </c>
      <c r="F4" s="18" t="s">
        <v>2</v>
      </c>
      <c r="G4" s="18" t="s">
        <v>67</v>
      </c>
      <c r="H4" s="18" t="s">
        <v>68</v>
      </c>
      <c r="I4" s="18" t="s">
        <v>69</v>
      </c>
      <c r="J4" s="18" t="s">
        <v>70</v>
      </c>
      <c r="K4" s="18" t="s">
        <v>71</v>
      </c>
      <c r="L4" s="18" t="s">
        <v>72</v>
      </c>
    </row>
    <row r="5" customFormat="false" ht="35.05" hidden="false" customHeight="false" outlineLevel="0" collapsed="false">
      <c r="A5" s="19" t="s">
        <v>73</v>
      </c>
      <c r="B5" s="20" t="s">
        <v>12</v>
      </c>
      <c r="C5" s="19" t="s">
        <v>74</v>
      </c>
      <c r="D5" s="19" t="s">
        <v>75</v>
      </c>
      <c r="E5" s="19" t="s">
        <v>76</v>
      </c>
      <c r="F5" s="19" t="s">
        <v>11</v>
      </c>
      <c r="G5" s="19" t="s">
        <v>77</v>
      </c>
      <c r="H5" s="19" t="s">
        <v>78</v>
      </c>
      <c r="I5" s="19" t="s">
        <v>79</v>
      </c>
      <c r="J5" s="19"/>
      <c r="K5" s="21" t="n">
        <v>46293</v>
      </c>
      <c r="L5" s="22" t="n">
        <f aca="true">IF(K5="","",TODAY()-K5)</f>
        <v>0</v>
      </c>
    </row>
    <row r="6" customFormat="false" ht="23.85" hidden="false" customHeight="false" outlineLevel="0" collapsed="false">
      <c r="A6" s="19" t="s">
        <v>80</v>
      </c>
      <c r="B6" s="20" t="s">
        <v>15</v>
      </c>
      <c r="C6" s="19" t="s">
        <v>81</v>
      </c>
      <c r="D6" s="19" t="s">
        <v>82</v>
      </c>
      <c r="E6" s="19" t="s">
        <v>83</v>
      </c>
      <c r="F6" s="19" t="s">
        <v>11</v>
      </c>
      <c r="G6" s="19" t="s">
        <v>84</v>
      </c>
      <c r="H6" s="19" t="s">
        <v>85</v>
      </c>
      <c r="I6" s="19"/>
      <c r="J6" s="19"/>
      <c r="K6" s="21" t="n">
        <v>46292</v>
      </c>
      <c r="L6" s="22" t="n">
        <f aca="true">IF(K6="","",TODAY()-K6)</f>
        <v>1</v>
      </c>
    </row>
    <row r="7" customFormat="false" ht="35.05" hidden="false" customHeight="false" outlineLevel="0" collapsed="false">
      <c r="A7" s="19" t="s">
        <v>86</v>
      </c>
      <c r="B7" s="20" t="s">
        <v>15</v>
      </c>
      <c r="C7" s="19" t="s">
        <v>81</v>
      </c>
      <c r="D7" s="19" t="s">
        <v>87</v>
      </c>
      <c r="E7" s="19" t="s">
        <v>83</v>
      </c>
      <c r="F7" s="19" t="s">
        <v>11</v>
      </c>
      <c r="G7" s="19" t="s">
        <v>77</v>
      </c>
      <c r="H7" s="19" t="s">
        <v>88</v>
      </c>
      <c r="I7" s="19" t="s">
        <v>89</v>
      </c>
      <c r="J7" s="19"/>
      <c r="K7" s="21" t="n">
        <v>46292</v>
      </c>
      <c r="L7" s="22" t="n">
        <f aca="true">IF(K7="","",TODAY()-K7)</f>
        <v>1</v>
      </c>
    </row>
    <row r="8" customFormat="false" ht="23.85" hidden="false" customHeight="false" outlineLevel="0" collapsed="false">
      <c r="A8" s="19" t="s">
        <v>90</v>
      </c>
      <c r="B8" s="20" t="s">
        <v>15</v>
      </c>
      <c r="C8" s="19" t="s">
        <v>81</v>
      </c>
      <c r="D8" s="19" t="s">
        <v>91</v>
      </c>
      <c r="E8" s="19" t="s">
        <v>83</v>
      </c>
      <c r="F8" s="19" t="s">
        <v>11</v>
      </c>
      <c r="G8" s="19" t="s">
        <v>84</v>
      </c>
      <c r="H8" s="19" t="s">
        <v>92</v>
      </c>
      <c r="I8" s="19" t="s">
        <v>93</v>
      </c>
      <c r="J8" s="19"/>
      <c r="K8" s="21" t="n">
        <v>46292</v>
      </c>
      <c r="L8" s="22" t="n">
        <f aca="true">IF(K8="","",TODAY()-K8)</f>
        <v>1</v>
      </c>
    </row>
    <row r="9" customFormat="false" ht="35.05" hidden="false" customHeight="false" outlineLevel="0" collapsed="false">
      <c r="A9" s="19" t="s">
        <v>94</v>
      </c>
      <c r="B9" s="20" t="s">
        <v>15</v>
      </c>
      <c r="C9" s="19" t="s">
        <v>95</v>
      </c>
      <c r="D9" s="19" t="s">
        <v>96</v>
      </c>
      <c r="E9" s="19" t="s">
        <v>83</v>
      </c>
      <c r="F9" s="19" t="s">
        <v>20</v>
      </c>
      <c r="G9" s="19" t="s">
        <v>84</v>
      </c>
      <c r="H9" s="19" t="s">
        <v>97</v>
      </c>
      <c r="I9" s="19"/>
      <c r="J9" s="19"/>
      <c r="K9" s="21" t="n">
        <v>46292</v>
      </c>
      <c r="L9" s="22" t="n">
        <f aca="true">IF(K9="","",TODAY()-K9)</f>
        <v>1</v>
      </c>
    </row>
    <row r="10" customFormat="false" ht="23.85" hidden="false" customHeight="false" outlineLevel="0" collapsed="false">
      <c r="A10" s="19" t="s">
        <v>98</v>
      </c>
      <c r="B10" s="20" t="s">
        <v>15</v>
      </c>
      <c r="C10" s="19" t="s">
        <v>99</v>
      </c>
      <c r="D10" s="19" t="s">
        <v>100</v>
      </c>
      <c r="E10" s="19" t="s">
        <v>101</v>
      </c>
      <c r="F10" s="19" t="s">
        <v>11</v>
      </c>
      <c r="G10" s="19" t="s">
        <v>102</v>
      </c>
      <c r="H10" s="19" t="s">
        <v>103</v>
      </c>
      <c r="I10" s="19" t="s">
        <v>104</v>
      </c>
      <c r="J10" s="19"/>
      <c r="K10" s="21" t="n">
        <v>46292</v>
      </c>
      <c r="L10" s="22" t="n">
        <f aca="true">IF(K10="","",TODAY()-K10)</f>
        <v>1</v>
      </c>
    </row>
    <row r="11" customFormat="false" ht="23.85" hidden="false" customHeight="false" outlineLevel="0" collapsed="false">
      <c r="A11" s="19" t="s">
        <v>105</v>
      </c>
      <c r="B11" s="20" t="s">
        <v>18</v>
      </c>
      <c r="C11" s="19" t="s">
        <v>106</v>
      </c>
      <c r="D11" s="19" t="s">
        <v>107</v>
      </c>
      <c r="E11" s="19" t="s">
        <v>83</v>
      </c>
      <c r="F11" s="19" t="s">
        <v>29</v>
      </c>
      <c r="G11" s="19" t="s">
        <v>84</v>
      </c>
      <c r="H11" s="19" t="s">
        <v>108</v>
      </c>
      <c r="I11" s="19" t="s">
        <v>109</v>
      </c>
      <c r="J11" s="19"/>
      <c r="K11" s="21" t="n">
        <v>46292</v>
      </c>
      <c r="L11" s="22" t="n">
        <f aca="true">IF(K11="","",TODAY()-K11)</f>
        <v>1</v>
      </c>
    </row>
    <row r="12" customFormat="false" ht="35.05" hidden="false" customHeight="false" outlineLevel="0" collapsed="false">
      <c r="A12" s="19" t="s">
        <v>110</v>
      </c>
      <c r="B12" s="20" t="s">
        <v>21</v>
      </c>
      <c r="C12" s="19" t="s">
        <v>111</v>
      </c>
      <c r="D12" s="19" t="s">
        <v>112</v>
      </c>
      <c r="E12" s="19" t="s">
        <v>83</v>
      </c>
      <c r="F12" s="19" t="s">
        <v>20</v>
      </c>
      <c r="G12" s="19" t="s">
        <v>84</v>
      </c>
      <c r="H12" s="19" t="s">
        <v>113</v>
      </c>
      <c r="I12" s="19"/>
      <c r="J12" s="19"/>
      <c r="K12" s="21" t="n">
        <v>46292</v>
      </c>
      <c r="L12" s="22" t="n">
        <f aca="true">IF(K12="","",TODAY()-K12)</f>
        <v>1</v>
      </c>
    </row>
    <row r="13" customFormat="false" ht="23.85" hidden="false" customHeight="false" outlineLevel="0" collapsed="false">
      <c r="A13" s="19" t="s">
        <v>114</v>
      </c>
      <c r="B13" s="20" t="s">
        <v>21</v>
      </c>
      <c r="C13" s="19" t="s">
        <v>111</v>
      </c>
      <c r="D13" s="19" t="s">
        <v>115</v>
      </c>
      <c r="E13" s="19" t="s">
        <v>101</v>
      </c>
      <c r="F13" s="19" t="s">
        <v>11</v>
      </c>
      <c r="G13" s="19" t="s">
        <v>102</v>
      </c>
      <c r="H13" s="19" t="s">
        <v>116</v>
      </c>
      <c r="I13" s="19"/>
      <c r="J13" s="19"/>
      <c r="K13" s="21" t="n">
        <v>46292</v>
      </c>
      <c r="L13" s="22" t="n">
        <f aca="true">IF(K13="","",TODAY()-K13)</f>
        <v>1</v>
      </c>
    </row>
    <row r="14" customFormat="false" ht="23.85" hidden="false" customHeight="false" outlineLevel="0" collapsed="false">
      <c r="A14" s="19" t="s">
        <v>117</v>
      </c>
      <c r="B14" s="20" t="s">
        <v>24</v>
      </c>
      <c r="C14" s="19" t="s">
        <v>118</v>
      </c>
      <c r="D14" s="19" t="s">
        <v>119</v>
      </c>
      <c r="E14" s="19" t="s">
        <v>101</v>
      </c>
      <c r="F14" s="19" t="s">
        <v>11</v>
      </c>
      <c r="G14" s="19" t="s">
        <v>102</v>
      </c>
      <c r="H14" s="19" t="s">
        <v>120</v>
      </c>
      <c r="I14" s="19" t="s">
        <v>121</v>
      </c>
      <c r="J14" s="19"/>
      <c r="K14" s="21" t="n">
        <v>46292</v>
      </c>
      <c r="L14" s="22" t="n">
        <f aca="true">IF(K14="","",TODAY()-K14)</f>
        <v>1</v>
      </c>
    </row>
    <row r="15" customFormat="false" ht="23.85" hidden="false" customHeight="false" outlineLevel="0" collapsed="false">
      <c r="A15" s="19" t="s">
        <v>122</v>
      </c>
      <c r="B15" s="20" t="s">
        <v>27</v>
      </c>
      <c r="C15" s="19" t="s">
        <v>123</v>
      </c>
      <c r="D15" s="19" t="s">
        <v>124</v>
      </c>
      <c r="E15" s="19" t="s">
        <v>83</v>
      </c>
      <c r="F15" s="19" t="s">
        <v>20</v>
      </c>
      <c r="G15" s="19" t="s">
        <v>77</v>
      </c>
      <c r="H15" s="19" t="s">
        <v>125</v>
      </c>
      <c r="I15" s="19"/>
      <c r="J15" s="19"/>
      <c r="K15" s="21" t="n">
        <v>46292</v>
      </c>
      <c r="L15" s="22" t="n">
        <f aca="true">IF(K15="","",TODAY()-K15)</f>
        <v>1</v>
      </c>
    </row>
    <row r="16" customFormat="false" ht="23.85" hidden="false" customHeight="false" outlineLevel="0" collapsed="false">
      <c r="A16" s="19" t="s">
        <v>126</v>
      </c>
      <c r="B16" s="20" t="s">
        <v>27</v>
      </c>
      <c r="C16" s="19" t="s">
        <v>127</v>
      </c>
      <c r="D16" s="19" t="s">
        <v>128</v>
      </c>
      <c r="E16" s="19" t="s">
        <v>83</v>
      </c>
      <c r="F16" s="19" t="s">
        <v>20</v>
      </c>
      <c r="G16" s="19" t="s">
        <v>84</v>
      </c>
      <c r="H16" s="19" t="s">
        <v>129</v>
      </c>
      <c r="I16" s="19"/>
      <c r="J16" s="19"/>
      <c r="K16" s="21" t="n">
        <v>46292</v>
      </c>
      <c r="L16" s="22" t="n">
        <f aca="true">IF(K16="","",TODAY()-K16)</f>
        <v>1</v>
      </c>
    </row>
    <row r="17" customFormat="false" ht="35.05" hidden="false" customHeight="false" outlineLevel="0" collapsed="false">
      <c r="A17" s="19" t="s">
        <v>130</v>
      </c>
      <c r="B17" s="20" t="s">
        <v>27</v>
      </c>
      <c r="C17" s="19" t="s">
        <v>131</v>
      </c>
      <c r="D17" s="19" t="s">
        <v>132</v>
      </c>
      <c r="E17" s="19" t="s">
        <v>83</v>
      </c>
      <c r="F17" s="19" t="s">
        <v>17</v>
      </c>
      <c r="G17" s="19" t="s">
        <v>84</v>
      </c>
      <c r="H17" s="19" t="s">
        <v>133</v>
      </c>
      <c r="I17" s="19"/>
      <c r="J17" s="19"/>
      <c r="K17" s="21" t="n">
        <v>46292</v>
      </c>
      <c r="L17" s="22" t="n">
        <f aca="true">IF(K17="","",TODAY()-K17)</f>
        <v>1</v>
      </c>
    </row>
    <row r="18" customFormat="false" ht="23.85" hidden="false" customHeight="false" outlineLevel="0" collapsed="false">
      <c r="A18" s="19" t="s">
        <v>134</v>
      </c>
      <c r="B18" s="20" t="s">
        <v>27</v>
      </c>
      <c r="C18" s="19" t="s">
        <v>135</v>
      </c>
      <c r="D18" s="19" t="s">
        <v>136</v>
      </c>
      <c r="E18" s="19" t="s">
        <v>83</v>
      </c>
      <c r="F18" s="19" t="s">
        <v>17</v>
      </c>
      <c r="G18" s="19" t="s">
        <v>84</v>
      </c>
      <c r="H18" s="19" t="s">
        <v>137</v>
      </c>
      <c r="I18" s="19" t="s">
        <v>138</v>
      </c>
      <c r="J18" s="19"/>
      <c r="K18" s="21" t="n">
        <v>46292</v>
      </c>
      <c r="L18" s="22" t="n">
        <f aca="true">IF(K18="","",TODAY()-K18)</f>
        <v>1</v>
      </c>
    </row>
    <row r="19" customFormat="false" ht="23.85" hidden="false" customHeight="false" outlineLevel="0" collapsed="false">
      <c r="A19" s="19" t="s">
        <v>139</v>
      </c>
      <c r="B19" s="20" t="s">
        <v>27</v>
      </c>
      <c r="C19" s="19" t="s">
        <v>140</v>
      </c>
      <c r="D19" s="19" t="s">
        <v>141</v>
      </c>
      <c r="E19" s="19" t="s">
        <v>83</v>
      </c>
      <c r="F19" s="19" t="s">
        <v>11</v>
      </c>
      <c r="G19" s="19" t="s">
        <v>84</v>
      </c>
      <c r="H19" s="19" t="s">
        <v>142</v>
      </c>
      <c r="I19" s="19"/>
      <c r="J19" s="19"/>
      <c r="K19" s="21" t="n">
        <v>46292</v>
      </c>
      <c r="L19" s="22" t="n">
        <f aca="true">IF(K19="","",TODAY()-K19)</f>
        <v>1</v>
      </c>
    </row>
    <row r="20" customFormat="false" ht="23.85" hidden="false" customHeight="false" outlineLevel="0" collapsed="false">
      <c r="A20" s="19" t="s">
        <v>143</v>
      </c>
      <c r="B20" s="20" t="s">
        <v>27</v>
      </c>
      <c r="C20" s="19" t="s">
        <v>111</v>
      </c>
      <c r="D20" s="19" t="s">
        <v>144</v>
      </c>
      <c r="E20" s="19" t="s">
        <v>83</v>
      </c>
      <c r="F20" s="19" t="s">
        <v>11</v>
      </c>
      <c r="G20" s="19" t="s">
        <v>84</v>
      </c>
      <c r="H20" s="19" t="s">
        <v>145</v>
      </c>
      <c r="I20" s="19"/>
      <c r="J20" s="19"/>
      <c r="K20" s="21" t="n">
        <v>46292</v>
      </c>
      <c r="L20" s="22" t="n">
        <f aca="true">IF(K20="","",TODAY()-K20)</f>
        <v>1</v>
      </c>
    </row>
    <row r="21" customFormat="false" ht="35.05" hidden="false" customHeight="false" outlineLevel="0" collapsed="false">
      <c r="A21" s="19" t="s">
        <v>146</v>
      </c>
      <c r="B21" s="20" t="s">
        <v>27</v>
      </c>
      <c r="C21" s="19" t="s">
        <v>147</v>
      </c>
      <c r="D21" s="19" t="s">
        <v>148</v>
      </c>
      <c r="E21" s="19" t="s">
        <v>101</v>
      </c>
      <c r="F21" s="19" t="s">
        <v>11</v>
      </c>
      <c r="G21" s="19" t="s">
        <v>84</v>
      </c>
      <c r="H21" s="19" t="s">
        <v>149</v>
      </c>
      <c r="I21" s="19" t="s">
        <v>150</v>
      </c>
      <c r="J21" s="19"/>
      <c r="K21" s="21" t="n">
        <v>46292</v>
      </c>
      <c r="L21" s="22" t="n">
        <f aca="true">IF(K21="","",TODAY()-K21)</f>
        <v>1</v>
      </c>
    </row>
    <row r="22" customFormat="false" ht="15" hidden="false" customHeight="false" outlineLevel="0" collapsed="false">
      <c r="A22" s="19" t="s">
        <v>151</v>
      </c>
      <c r="B22" s="20" t="s">
        <v>27</v>
      </c>
      <c r="C22" s="19" t="s">
        <v>147</v>
      </c>
      <c r="D22" s="19" t="s">
        <v>152</v>
      </c>
      <c r="E22" s="19" t="s">
        <v>101</v>
      </c>
      <c r="F22" s="19" t="s">
        <v>11</v>
      </c>
      <c r="G22" s="19" t="s">
        <v>102</v>
      </c>
      <c r="H22" s="19" t="s">
        <v>149</v>
      </c>
      <c r="I22" s="19"/>
      <c r="J22" s="19"/>
      <c r="K22" s="21" t="n">
        <v>46292</v>
      </c>
      <c r="L22" s="22" t="n">
        <f aca="true">IF(K22="","",TODAY()-K22)</f>
        <v>1</v>
      </c>
    </row>
    <row r="23" customFormat="false" ht="35.05" hidden="false" customHeight="false" outlineLevel="0" collapsed="false">
      <c r="A23" s="19" t="s">
        <v>153</v>
      </c>
      <c r="B23" s="20" t="s">
        <v>27</v>
      </c>
      <c r="C23" s="19" t="s">
        <v>154</v>
      </c>
      <c r="D23" s="19" t="s">
        <v>155</v>
      </c>
      <c r="E23" s="19" t="s">
        <v>101</v>
      </c>
      <c r="F23" s="19" t="s">
        <v>29</v>
      </c>
      <c r="G23" s="19" t="s">
        <v>102</v>
      </c>
      <c r="H23" s="19" t="s">
        <v>156</v>
      </c>
      <c r="I23" s="19"/>
      <c r="J23" s="19"/>
      <c r="K23" s="21" t="n">
        <v>46292</v>
      </c>
      <c r="L23" s="22" t="n">
        <f aca="true">IF(K23="","",TODAY()-K23)</f>
        <v>1</v>
      </c>
    </row>
    <row r="24" customFormat="false" ht="35.05" hidden="false" customHeight="false" outlineLevel="0" collapsed="false">
      <c r="A24" s="19" t="s">
        <v>157</v>
      </c>
      <c r="B24" s="20" t="s">
        <v>30</v>
      </c>
      <c r="C24" s="19" t="s">
        <v>158</v>
      </c>
      <c r="D24" s="19" t="s">
        <v>159</v>
      </c>
      <c r="E24" s="19" t="s">
        <v>76</v>
      </c>
      <c r="F24" s="19" t="s">
        <v>17</v>
      </c>
      <c r="G24" s="19" t="s">
        <v>84</v>
      </c>
      <c r="H24" s="19" t="s">
        <v>160</v>
      </c>
      <c r="I24" s="19" t="s">
        <v>161</v>
      </c>
      <c r="J24" s="19"/>
      <c r="K24" s="21" t="n">
        <v>46292</v>
      </c>
      <c r="L24" s="22" t="n">
        <f aca="true">IF(K24="","",TODAY()-K24)</f>
        <v>1</v>
      </c>
    </row>
    <row r="25" customFormat="false" ht="15" hidden="false" customHeight="false" outlineLevel="0" collapsed="false">
      <c r="A25" s="19" t="s">
        <v>162</v>
      </c>
      <c r="B25" s="20" t="s">
        <v>30</v>
      </c>
      <c r="C25" s="19" t="s">
        <v>158</v>
      </c>
      <c r="D25" s="19" t="s">
        <v>163</v>
      </c>
      <c r="E25" s="19" t="s">
        <v>76</v>
      </c>
      <c r="F25" s="19" t="s">
        <v>29</v>
      </c>
      <c r="G25" s="19" t="s">
        <v>102</v>
      </c>
      <c r="H25" s="19" t="s">
        <v>164</v>
      </c>
      <c r="I25" s="19"/>
      <c r="J25" s="19"/>
      <c r="K25" s="21" t="n">
        <v>46292</v>
      </c>
      <c r="L25" s="22" t="n">
        <f aca="true">IF(K25="","",TODAY()-K25)</f>
        <v>1</v>
      </c>
    </row>
    <row r="26" customFormat="false" ht="35.05" hidden="false" customHeight="false" outlineLevel="0" collapsed="false">
      <c r="A26" s="19" t="s">
        <v>165</v>
      </c>
      <c r="B26" s="20" t="s">
        <v>30</v>
      </c>
      <c r="C26" s="19" t="s">
        <v>166</v>
      </c>
      <c r="D26" s="19" t="s">
        <v>167</v>
      </c>
      <c r="E26" s="19" t="s">
        <v>76</v>
      </c>
      <c r="F26" s="19" t="s">
        <v>11</v>
      </c>
      <c r="G26" s="19" t="s">
        <v>84</v>
      </c>
      <c r="H26" s="19" t="s">
        <v>168</v>
      </c>
      <c r="I26" s="19" t="s">
        <v>169</v>
      </c>
      <c r="J26" s="19"/>
      <c r="K26" s="21" t="n">
        <v>46292</v>
      </c>
      <c r="L26" s="22" t="n">
        <f aca="true">IF(K26="","",TODAY()-K26)</f>
        <v>1</v>
      </c>
    </row>
    <row r="27" customFormat="false" ht="23.85" hidden="false" customHeight="false" outlineLevel="0" collapsed="false">
      <c r="A27" s="19" t="s">
        <v>170</v>
      </c>
      <c r="B27" s="20" t="s">
        <v>30</v>
      </c>
      <c r="C27" s="19" t="s">
        <v>171</v>
      </c>
      <c r="D27" s="19" t="s">
        <v>172</v>
      </c>
      <c r="E27" s="19" t="s">
        <v>76</v>
      </c>
      <c r="F27" s="19" t="s">
        <v>11</v>
      </c>
      <c r="G27" s="19" t="s">
        <v>102</v>
      </c>
      <c r="H27" s="19" t="s">
        <v>173</v>
      </c>
      <c r="I27" s="19" t="s">
        <v>174</v>
      </c>
      <c r="J27" s="19"/>
      <c r="K27" s="21" t="n">
        <v>46292</v>
      </c>
      <c r="L27" s="22" t="n">
        <f aca="true">IF(K27="","",TODAY()-K27)</f>
        <v>1</v>
      </c>
    </row>
    <row r="28" customFormat="false" ht="23.85" hidden="false" customHeight="false" outlineLevel="0" collapsed="false">
      <c r="A28" s="19" t="s">
        <v>175</v>
      </c>
      <c r="B28" s="20" t="s">
        <v>30</v>
      </c>
      <c r="C28" s="19" t="s">
        <v>176</v>
      </c>
      <c r="D28" s="19" t="s">
        <v>177</v>
      </c>
      <c r="E28" s="19" t="s">
        <v>76</v>
      </c>
      <c r="F28" s="19" t="s">
        <v>11</v>
      </c>
      <c r="G28" s="19" t="s">
        <v>84</v>
      </c>
      <c r="H28" s="19" t="s">
        <v>178</v>
      </c>
      <c r="I28" s="19" t="s">
        <v>179</v>
      </c>
      <c r="J28" s="19"/>
      <c r="K28" s="21" t="n">
        <v>46292</v>
      </c>
      <c r="L28" s="22" t="n">
        <f aca="true">IF(K28="","",TODAY()-K28)</f>
        <v>1</v>
      </c>
    </row>
    <row r="29" customFormat="false" ht="23.85" hidden="false" customHeight="false" outlineLevel="0" collapsed="false">
      <c r="A29" s="19" t="s">
        <v>180</v>
      </c>
      <c r="B29" s="20" t="s">
        <v>30</v>
      </c>
      <c r="C29" s="19" t="s">
        <v>181</v>
      </c>
      <c r="D29" s="19" t="s">
        <v>182</v>
      </c>
      <c r="E29" s="19" t="s">
        <v>76</v>
      </c>
      <c r="F29" s="19" t="s">
        <v>11</v>
      </c>
      <c r="G29" s="19" t="s">
        <v>102</v>
      </c>
      <c r="H29" s="19" t="s">
        <v>183</v>
      </c>
      <c r="I29" s="19"/>
      <c r="J29" s="19"/>
      <c r="K29" s="21" t="n">
        <v>46292</v>
      </c>
      <c r="L29" s="22" t="n">
        <f aca="true">IF(K29="","",TODAY()-K29)</f>
        <v>1</v>
      </c>
    </row>
    <row r="30" customFormat="false" ht="23.85" hidden="false" customHeight="false" outlineLevel="0" collapsed="false">
      <c r="A30" s="19" t="s">
        <v>184</v>
      </c>
      <c r="B30" s="20" t="s">
        <v>32</v>
      </c>
      <c r="C30" s="19" t="s">
        <v>185</v>
      </c>
      <c r="D30" s="19" t="s">
        <v>186</v>
      </c>
      <c r="E30" s="19" t="s">
        <v>83</v>
      </c>
      <c r="F30" s="19" t="s">
        <v>11</v>
      </c>
      <c r="G30" s="19" t="s">
        <v>84</v>
      </c>
      <c r="H30" s="19" t="s">
        <v>187</v>
      </c>
      <c r="I30" s="19"/>
      <c r="J30" s="19"/>
      <c r="K30" s="21" t="n">
        <v>46292</v>
      </c>
      <c r="L30" s="22" t="n">
        <f aca="true">IF(K30="","",TODAY()-K30)</f>
        <v>1</v>
      </c>
    </row>
    <row r="31" customFormat="false" ht="23.85" hidden="false" customHeight="false" outlineLevel="0" collapsed="false">
      <c r="A31" s="19" t="s">
        <v>188</v>
      </c>
      <c r="B31" s="20" t="s">
        <v>32</v>
      </c>
      <c r="C31" s="19" t="s">
        <v>189</v>
      </c>
      <c r="D31" s="19" t="s">
        <v>190</v>
      </c>
      <c r="E31" s="19" t="s">
        <v>76</v>
      </c>
      <c r="F31" s="19" t="s">
        <v>17</v>
      </c>
      <c r="G31" s="19" t="s">
        <v>84</v>
      </c>
      <c r="H31" s="19" t="s">
        <v>191</v>
      </c>
      <c r="I31" s="19" t="s">
        <v>192</v>
      </c>
      <c r="J31" s="19"/>
      <c r="K31" s="21" t="n">
        <v>46292</v>
      </c>
      <c r="L31" s="22" t="n">
        <f aca="true">IF(K31="","",TODAY()-K31)</f>
        <v>1</v>
      </c>
    </row>
    <row r="32" customFormat="false" ht="23.85" hidden="false" customHeight="false" outlineLevel="0" collapsed="false">
      <c r="A32" s="19" t="s">
        <v>193</v>
      </c>
      <c r="B32" s="20" t="s">
        <v>32</v>
      </c>
      <c r="C32" s="19" t="s">
        <v>74</v>
      </c>
      <c r="D32" s="19" t="s">
        <v>194</v>
      </c>
      <c r="E32" s="19" t="s">
        <v>76</v>
      </c>
      <c r="F32" s="19" t="s">
        <v>11</v>
      </c>
      <c r="G32" s="19" t="s">
        <v>102</v>
      </c>
      <c r="H32" s="19" t="s">
        <v>195</v>
      </c>
      <c r="I32" s="19" t="s">
        <v>196</v>
      </c>
      <c r="J32" s="19"/>
      <c r="K32" s="21" t="n">
        <v>46292</v>
      </c>
      <c r="L32" s="22" t="n">
        <f aca="true">IF(K32="","",TODAY()-K32)</f>
        <v>1</v>
      </c>
    </row>
    <row r="33" customFormat="false" ht="23.85" hidden="false" customHeight="false" outlineLevel="0" collapsed="false">
      <c r="A33" s="19" t="s">
        <v>197</v>
      </c>
      <c r="B33" s="20" t="s">
        <v>32</v>
      </c>
      <c r="C33" s="19" t="s">
        <v>198</v>
      </c>
      <c r="D33" s="19" t="s">
        <v>199</v>
      </c>
      <c r="E33" s="19" t="s">
        <v>76</v>
      </c>
      <c r="F33" s="19" t="s">
        <v>11</v>
      </c>
      <c r="G33" s="19" t="s">
        <v>84</v>
      </c>
      <c r="H33" s="19" t="s">
        <v>200</v>
      </c>
      <c r="I33" s="19" t="s">
        <v>201</v>
      </c>
      <c r="J33" s="19"/>
      <c r="K33" s="21" t="n">
        <v>46292</v>
      </c>
      <c r="L33" s="22" t="n">
        <f aca="true">IF(K33="","",TODAY()-K33)</f>
        <v>1</v>
      </c>
    </row>
    <row r="34" customFormat="false" ht="23.85" hidden="false" customHeight="false" outlineLevel="0" collapsed="false">
      <c r="A34" s="19" t="s">
        <v>202</v>
      </c>
      <c r="B34" s="20" t="s">
        <v>35</v>
      </c>
      <c r="C34" s="19" t="s">
        <v>203</v>
      </c>
      <c r="D34" s="19" t="s">
        <v>204</v>
      </c>
      <c r="E34" s="19" t="s">
        <v>76</v>
      </c>
      <c r="F34" s="19" t="s">
        <v>20</v>
      </c>
      <c r="G34" s="19" t="s">
        <v>84</v>
      </c>
      <c r="H34" s="19" t="s">
        <v>205</v>
      </c>
      <c r="I34" s="19"/>
      <c r="J34" s="19"/>
      <c r="K34" s="21" t="n">
        <v>46292</v>
      </c>
      <c r="L34" s="22" t="n">
        <f aca="true">IF(K34="","",TODAY()-K34)</f>
        <v>1</v>
      </c>
    </row>
    <row r="35" customFormat="false" ht="23.85" hidden="false" customHeight="false" outlineLevel="0" collapsed="false">
      <c r="A35" s="19" t="s">
        <v>206</v>
      </c>
      <c r="B35" s="20" t="s">
        <v>35</v>
      </c>
      <c r="C35" s="19" t="s">
        <v>207</v>
      </c>
      <c r="D35" s="19" t="s">
        <v>208</v>
      </c>
      <c r="E35" s="19" t="s">
        <v>76</v>
      </c>
      <c r="F35" s="19" t="s">
        <v>11</v>
      </c>
      <c r="G35" s="19" t="s">
        <v>102</v>
      </c>
      <c r="H35" s="19" t="s">
        <v>209</v>
      </c>
      <c r="I35" s="19" t="s">
        <v>210</v>
      </c>
      <c r="J35" s="19"/>
      <c r="K35" s="21" t="n">
        <v>46292</v>
      </c>
      <c r="L35" s="22" t="n">
        <f aca="true">IF(K35="","",TODAY()-K35)</f>
        <v>1</v>
      </c>
    </row>
    <row r="36" customFormat="false" ht="15" hidden="false" customHeight="false" outlineLevel="0" collapsed="false">
      <c r="A36" s="19" t="s">
        <v>211</v>
      </c>
      <c r="B36" s="20" t="s">
        <v>38</v>
      </c>
      <c r="C36" s="19" t="s">
        <v>158</v>
      </c>
      <c r="D36" s="19" t="s">
        <v>212</v>
      </c>
      <c r="E36" s="19" t="s">
        <v>76</v>
      </c>
      <c r="F36" s="19" t="s">
        <v>11</v>
      </c>
      <c r="G36" s="19" t="s">
        <v>102</v>
      </c>
      <c r="H36" s="19" t="s">
        <v>213</v>
      </c>
      <c r="I36" s="19"/>
      <c r="J36" s="19"/>
      <c r="K36" s="21" t="n">
        <v>46292</v>
      </c>
      <c r="L36" s="22" t="n">
        <f aca="true">IF(K36="","",TODAY()-K36)</f>
        <v>1</v>
      </c>
    </row>
    <row r="37" customFormat="false" ht="23.85" hidden="false" customHeight="false" outlineLevel="0" collapsed="false">
      <c r="A37" s="19" t="s">
        <v>214</v>
      </c>
      <c r="B37" s="20" t="s">
        <v>38</v>
      </c>
      <c r="C37" s="19" t="s">
        <v>158</v>
      </c>
      <c r="D37" s="19" t="s">
        <v>215</v>
      </c>
      <c r="E37" s="19" t="s">
        <v>76</v>
      </c>
      <c r="F37" s="19" t="s">
        <v>11</v>
      </c>
      <c r="G37" s="19" t="s">
        <v>102</v>
      </c>
      <c r="H37" s="19" t="s">
        <v>216</v>
      </c>
      <c r="I37" s="19"/>
      <c r="J37" s="19"/>
      <c r="K37" s="21" t="n">
        <v>46292</v>
      </c>
      <c r="L37" s="22" t="n">
        <f aca="true">IF(K37="","",TODAY()-K37)</f>
        <v>1</v>
      </c>
    </row>
    <row r="38" customFormat="false" ht="15" hidden="false" customHeight="false" outlineLevel="0" collapsed="false">
      <c r="A38" s="19" t="s">
        <v>217</v>
      </c>
      <c r="B38" s="20" t="s">
        <v>38</v>
      </c>
      <c r="C38" s="19" t="s">
        <v>203</v>
      </c>
      <c r="D38" s="19" t="s">
        <v>218</v>
      </c>
      <c r="E38" s="19" t="s">
        <v>76</v>
      </c>
      <c r="F38" s="19" t="s">
        <v>20</v>
      </c>
      <c r="G38" s="19" t="s">
        <v>84</v>
      </c>
      <c r="H38" s="19" t="s">
        <v>219</v>
      </c>
      <c r="I38" s="19"/>
      <c r="J38" s="19"/>
      <c r="K38" s="21" t="n">
        <v>46292</v>
      </c>
      <c r="L38" s="22" t="n">
        <f aca="true">IF(K38="","",TODAY()-K38)</f>
        <v>1</v>
      </c>
    </row>
    <row r="39" customFormat="false" ht="15" hidden="false" customHeight="false" outlineLevel="0" collapsed="false">
      <c r="A39" s="19" t="s">
        <v>220</v>
      </c>
      <c r="B39" s="20" t="s">
        <v>38</v>
      </c>
      <c r="C39" s="19" t="s">
        <v>181</v>
      </c>
      <c r="D39" s="19" t="s">
        <v>221</v>
      </c>
      <c r="E39" s="19" t="s">
        <v>76</v>
      </c>
      <c r="F39" s="19" t="s">
        <v>11</v>
      </c>
      <c r="G39" s="19" t="s">
        <v>102</v>
      </c>
      <c r="H39" s="19" t="s">
        <v>213</v>
      </c>
      <c r="I39" s="19" t="s">
        <v>222</v>
      </c>
      <c r="J39" s="19"/>
      <c r="K39" s="21" t="n">
        <v>46292</v>
      </c>
      <c r="L39" s="22" t="n">
        <f aca="true">IF(K39="","",TODAY()-K39)</f>
        <v>1</v>
      </c>
    </row>
    <row r="40" customFormat="false" ht="23.85" hidden="false" customHeight="false" outlineLevel="0" collapsed="false">
      <c r="A40" s="19" t="s">
        <v>223</v>
      </c>
      <c r="B40" s="20" t="s">
        <v>40</v>
      </c>
      <c r="C40" s="19" t="s">
        <v>140</v>
      </c>
      <c r="D40" s="19" t="s">
        <v>224</v>
      </c>
      <c r="E40" s="19" t="s">
        <v>83</v>
      </c>
      <c r="F40" s="19" t="s">
        <v>17</v>
      </c>
      <c r="G40" s="19" t="s">
        <v>84</v>
      </c>
      <c r="H40" s="19" t="s">
        <v>225</v>
      </c>
      <c r="I40" s="19"/>
      <c r="J40" s="19"/>
      <c r="K40" s="21" t="n">
        <v>46292</v>
      </c>
      <c r="L40" s="22" t="n">
        <f aca="true">IF(K40="","",TODAY()-K40)</f>
        <v>1</v>
      </c>
    </row>
    <row r="41" customFormat="false" ht="23.85" hidden="false" customHeight="false" outlineLevel="0" collapsed="false">
      <c r="A41" s="19" t="s">
        <v>226</v>
      </c>
      <c r="B41" s="20" t="s">
        <v>43</v>
      </c>
      <c r="C41" s="19" t="s">
        <v>158</v>
      </c>
      <c r="D41" s="19" t="s">
        <v>227</v>
      </c>
      <c r="E41" s="19" t="s">
        <v>76</v>
      </c>
      <c r="F41" s="19" t="s">
        <v>11</v>
      </c>
      <c r="G41" s="19" t="s">
        <v>102</v>
      </c>
      <c r="H41" s="19" t="s">
        <v>228</v>
      </c>
      <c r="I41" s="19"/>
      <c r="J41" s="19"/>
      <c r="K41" s="21" t="n">
        <v>46292</v>
      </c>
      <c r="L41" s="22" t="n">
        <f aca="true">IF(K41="","",TODAY()-K41)</f>
        <v>1</v>
      </c>
    </row>
    <row r="42" customFormat="false" ht="23.85" hidden="false" customHeight="false" outlineLevel="0" collapsed="false">
      <c r="A42" s="19" t="s">
        <v>229</v>
      </c>
      <c r="B42" s="20" t="s">
        <v>43</v>
      </c>
      <c r="C42" s="19" t="s">
        <v>95</v>
      </c>
      <c r="D42" s="19" t="s">
        <v>230</v>
      </c>
      <c r="E42" s="19" t="s">
        <v>76</v>
      </c>
      <c r="F42" s="19" t="s">
        <v>11</v>
      </c>
      <c r="G42" s="19" t="s">
        <v>84</v>
      </c>
      <c r="H42" s="19" t="s">
        <v>231</v>
      </c>
      <c r="I42" s="19" t="s">
        <v>232</v>
      </c>
      <c r="J42" s="19"/>
      <c r="K42" s="21" t="n">
        <v>46292</v>
      </c>
      <c r="L42" s="22" t="n">
        <f aca="true">IF(K42="","",TODAY()-K42)</f>
        <v>1</v>
      </c>
    </row>
    <row r="43" customFormat="false" ht="15" hidden="false" customHeight="false" outlineLevel="0" collapsed="false">
      <c r="A43" s="19" t="s">
        <v>233</v>
      </c>
      <c r="B43" s="20" t="s">
        <v>43</v>
      </c>
      <c r="C43" s="19" t="s">
        <v>158</v>
      </c>
      <c r="D43" s="19" t="s">
        <v>234</v>
      </c>
      <c r="E43" s="19" t="s">
        <v>76</v>
      </c>
      <c r="F43" s="19" t="s">
        <v>26</v>
      </c>
      <c r="G43" s="19" t="s">
        <v>102</v>
      </c>
      <c r="H43" s="19" t="s">
        <v>235</v>
      </c>
      <c r="I43" s="19"/>
      <c r="J43" s="19"/>
      <c r="K43" s="21" t="n">
        <v>46292</v>
      </c>
      <c r="L43" s="22" t="n">
        <f aca="true">IF(K43="","",TODAY()-K43)</f>
        <v>1</v>
      </c>
    </row>
    <row r="44" customFormat="false" ht="23.85" hidden="false" customHeight="false" outlineLevel="0" collapsed="false">
      <c r="A44" s="19" t="s">
        <v>236</v>
      </c>
      <c r="B44" s="20" t="s">
        <v>43</v>
      </c>
      <c r="C44" s="19" t="s">
        <v>237</v>
      </c>
      <c r="D44" s="19" t="s">
        <v>238</v>
      </c>
      <c r="E44" s="19" t="s">
        <v>83</v>
      </c>
      <c r="F44" s="19" t="s">
        <v>20</v>
      </c>
      <c r="G44" s="19" t="s">
        <v>84</v>
      </c>
      <c r="H44" s="19" t="s">
        <v>239</v>
      </c>
      <c r="I44" s="19"/>
      <c r="J44" s="19"/>
      <c r="K44" s="21" t="n">
        <v>46292</v>
      </c>
      <c r="L44" s="22" t="n">
        <f aca="true">IF(K44="","",TODAY()-K44)</f>
        <v>1</v>
      </c>
    </row>
    <row r="45" customFormat="false" ht="23.85" hidden="false" customHeight="false" outlineLevel="0" collapsed="false">
      <c r="A45" s="19" t="s">
        <v>240</v>
      </c>
      <c r="B45" s="20" t="s">
        <v>45</v>
      </c>
      <c r="C45" s="19" t="s">
        <v>241</v>
      </c>
      <c r="D45" s="19" t="s">
        <v>242</v>
      </c>
      <c r="E45" s="19" t="s">
        <v>76</v>
      </c>
      <c r="F45" s="19" t="s">
        <v>11</v>
      </c>
      <c r="G45" s="19" t="s">
        <v>84</v>
      </c>
      <c r="H45" s="19" t="s">
        <v>243</v>
      </c>
      <c r="I45" s="19" t="s">
        <v>244</v>
      </c>
      <c r="J45" s="19"/>
      <c r="K45" s="21" t="n">
        <v>46292</v>
      </c>
      <c r="L45" s="22" t="n">
        <f aca="true">IF(K45="","",TODAY()-K45)</f>
        <v>1</v>
      </c>
    </row>
    <row r="46" customFormat="false" ht="23.85" hidden="false" customHeight="false" outlineLevel="0" collapsed="false">
      <c r="A46" s="19" t="s">
        <v>245</v>
      </c>
      <c r="B46" s="20" t="s">
        <v>45</v>
      </c>
      <c r="C46" s="19" t="s">
        <v>241</v>
      </c>
      <c r="D46" s="19" t="s">
        <v>246</v>
      </c>
      <c r="E46" s="19" t="s">
        <v>76</v>
      </c>
      <c r="F46" s="19" t="s">
        <v>20</v>
      </c>
      <c r="G46" s="19" t="s">
        <v>84</v>
      </c>
      <c r="H46" s="19" t="s">
        <v>247</v>
      </c>
      <c r="I46" s="19"/>
      <c r="J46" s="19"/>
      <c r="K46" s="21" t="n">
        <v>46292</v>
      </c>
      <c r="L46" s="22" t="n">
        <f aca="true">IF(K46="","",TODAY()-K46)</f>
        <v>1</v>
      </c>
    </row>
    <row r="47" customFormat="false" ht="23.85" hidden="false" customHeight="false" outlineLevel="0" collapsed="false">
      <c r="A47" s="19" t="s">
        <v>248</v>
      </c>
      <c r="B47" s="20" t="s">
        <v>47</v>
      </c>
      <c r="C47" s="19" t="s">
        <v>207</v>
      </c>
      <c r="D47" s="19" t="s">
        <v>249</v>
      </c>
      <c r="E47" s="19" t="s">
        <v>83</v>
      </c>
      <c r="F47" s="19" t="s">
        <v>26</v>
      </c>
      <c r="G47" s="19" t="s">
        <v>102</v>
      </c>
      <c r="H47" s="19" t="s">
        <v>250</v>
      </c>
      <c r="I47" s="19"/>
      <c r="J47" s="19"/>
      <c r="K47" s="21" t="n">
        <v>46292</v>
      </c>
      <c r="L47" s="22" t="n">
        <f aca="true">IF(K47="","",TODAY()-K47)</f>
        <v>1</v>
      </c>
    </row>
    <row r="48" customFormat="false" ht="23.85" hidden="false" customHeight="false" outlineLevel="0" collapsed="false">
      <c r="A48" s="19" t="s">
        <v>251</v>
      </c>
      <c r="B48" s="20" t="s">
        <v>47</v>
      </c>
      <c r="C48" s="19" t="s">
        <v>189</v>
      </c>
      <c r="D48" s="19" t="s">
        <v>252</v>
      </c>
      <c r="E48" s="19" t="s">
        <v>83</v>
      </c>
      <c r="F48" s="19" t="s">
        <v>11</v>
      </c>
      <c r="G48" s="19" t="s">
        <v>84</v>
      </c>
      <c r="H48" s="19" t="s">
        <v>253</v>
      </c>
      <c r="I48" s="19" t="s">
        <v>254</v>
      </c>
      <c r="J48" s="19"/>
      <c r="K48" s="21" t="n">
        <v>46292</v>
      </c>
      <c r="L48" s="22" t="n">
        <f aca="true">IF(K48="","",TODAY()-K48)</f>
        <v>1</v>
      </c>
    </row>
    <row r="49" customFormat="false" ht="15" hidden="false" customHeight="false" outlineLevel="0" collapsed="false">
      <c r="A49" s="19" t="s">
        <v>255</v>
      </c>
      <c r="B49" s="20" t="s">
        <v>49</v>
      </c>
      <c r="C49" s="19" t="s">
        <v>203</v>
      </c>
      <c r="D49" s="19" t="s">
        <v>256</v>
      </c>
      <c r="E49" s="19" t="s">
        <v>83</v>
      </c>
      <c r="F49" s="19" t="s">
        <v>26</v>
      </c>
      <c r="G49" s="19" t="s">
        <v>102</v>
      </c>
      <c r="H49" s="19" t="s">
        <v>257</v>
      </c>
      <c r="I49" s="19"/>
      <c r="J49" s="19"/>
      <c r="K49" s="21" t="n">
        <v>46292</v>
      </c>
      <c r="L49" s="22" t="n">
        <f aca="true">IF(K49="","",TODAY()-K49)</f>
        <v>1</v>
      </c>
    </row>
    <row r="50" customFormat="false" ht="23.85" hidden="false" customHeight="false" outlineLevel="0" collapsed="false">
      <c r="A50" s="19" t="s">
        <v>258</v>
      </c>
      <c r="B50" s="20" t="s">
        <v>49</v>
      </c>
      <c r="C50" s="19" t="s">
        <v>259</v>
      </c>
      <c r="D50" s="19" t="s">
        <v>260</v>
      </c>
      <c r="E50" s="19" t="s">
        <v>76</v>
      </c>
      <c r="F50" s="19" t="s">
        <v>11</v>
      </c>
      <c r="G50" s="19" t="s">
        <v>77</v>
      </c>
      <c r="H50" s="19" t="s">
        <v>261</v>
      </c>
      <c r="I50" s="19" t="s">
        <v>262</v>
      </c>
      <c r="J50" s="19"/>
      <c r="K50" s="21" t="n">
        <v>46292</v>
      </c>
      <c r="L50" s="22" t="n">
        <f aca="true">IF(K50="","",TODAY()-K50)</f>
        <v>1</v>
      </c>
    </row>
    <row r="51" customFormat="false" ht="15" hidden="false" customHeight="false" outlineLevel="0" collapsed="false">
      <c r="A51" s="19" t="s">
        <v>263</v>
      </c>
      <c r="B51" s="20" t="s">
        <v>49</v>
      </c>
      <c r="C51" s="19" t="s">
        <v>237</v>
      </c>
      <c r="D51" s="19" t="s">
        <v>264</v>
      </c>
      <c r="E51" s="19" t="s">
        <v>83</v>
      </c>
      <c r="F51" s="19" t="s">
        <v>20</v>
      </c>
      <c r="G51" s="19" t="s">
        <v>77</v>
      </c>
      <c r="H51" s="19" t="s">
        <v>265</v>
      </c>
      <c r="I51" s="19"/>
      <c r="J51" s="19"/>
      <c r="K51" s="21" t="n">
        <v>46292</v>
      </c>
      <c r="L51" s="22" t="n">
        <f aca="true">IF(K51="","",TODAY()-K51)</f>
        <v>1</v>
      </c>
    </row>
    <row r="52" customFormat="false" ht="35.05" hidden="false" customHeight="false" outlineLevel="0" collapsed="false">
      <c r="A52" s="19" t="s">
        <v>266</v>
      </c>
      <c r="B52" s="20" t="s">
        <v>51</v>
      </c>
      <c r="C52" s="19" t="s">
        <v>267</v>
      </c>
      <c r="D52" s="19" t="s">
        <v>268</v>
      </c>
      <c r="E52" s="19" t="s">
        <v>83</v>
      </c>
      <c r="F52" s="19" t="s">
        <v>20</v>
      </c>
      <c r="G52" s="19" t="s">
        <v>84</v>
      </c>
      <c r="H52" s="19" t="s">
        <v>269</v>
      </c>
      <c r="I52" s="19"/>
      <c r="J52" s="19"/>
      <c r="K52" s="21" t="n">
        <v>46292</v>
      </c>
      <c r="L52" s="22" t="n">
        <f aca="true">IF(K52="","",TODAY()-K52)</f>
        <v>1</v>
      </c>
    </row>
    <row r="53" customFormat="false" ht="23.85" hidden="false" customHeight="false" outlineLevel="0" collapsed="false">
      <c r="A53" s="19" t="s">
        <v>270</v>
      </c>
      <c r="B53" s="20" t="s">
        <v>51</v>
      </c>
      <c r="C53" s="19" t="s">
        <v>271</v>
      </c>
      <c r="D53" s="19" t="s">
        <v>272</v>
      </c>
      <c r="E53" s="19" t="s">
        <v>273</v>
      </c>
      <c r="F53" s="19" t="s">
        <v>11</v>
      </c>
      <c r="G53" s="19" t="s">
        <v>102</v>
      </c>
      <c r="H53" s="19" t="s">
        <v>274</v>
      </c>
      <c r="I53" s="19"/>
      <c r="J53" s="19"/>
      <c r="K53" s="21" t="n">
        <v>46292</v>
      </c>
      <c r="L53" s="22" t="n">
        <f aca="true">IF(K53="","",TODAY()-K53)</f>
        <v>1</v>
      </c>
    </row>
    <row r="54" customFormat="false" ht="15" hidden="false" customHeight="false" outlineLevel="0" collapsed="false">
      <c r="A54" s="19" t="s">
        <v>275</v>
      </c>
      <c r="B54" s="20" t="s">
        <v>53</v>
      </c>
      <c r="C54" s="19" t="s">
        <v>276</v>
      </c>
      <c r="D54" s="19" t="s">
        <v>277</v>
      </c>
      <c r="E54" s="19" t="s">
        <v>83</v>
      </c>
      <c r="F54" s="19" t="s">
        <v>20</v>
      </c>
      <c r="G54" s="19" t="s">
        <v>77</v>
      </c>
      <c r="H54" s="19" t="s">
        <v>278</v>
      </c>
      <c r="I54" s="19"/>
      <c r="J54" s="19"/>
      <c r="K54" s="21" t="n">
        <v>46292</v>
      </c>
      <c r="L54" s="22" t="n">
        <f aca="true">IF(K54="","",TODAY()-K54)</f>
        <v>1</v>
      </c>
    </row>
    <row r="55" customFormat="false" ht="23.85" hidden="false" customHeight="false" outlineLevel="0" collapsed="false">
      <c r="A55" s="19" t="s">
        <v>279</v>
      </c>
      <c r="B55" s="20" t="s">
        <v>53</v>
      </c>
      <c r="C55" s="19" t="s">
        <v>276</v>
      </c>
      <c r="D55" s="19" t="s">
        <v>280</v>
      </c>
      <c r="E55" s="19" t="s">
        <v>83</v>
      </c>
      <c r="F55" s="19" t="s">
        <v>11</v>
      </c>
      <c r="G55" s="19" t="s">
        <v>77</v>
      </c>
      <c r="H55" s="19" t="s">
        <v>281</v>
      </c>
      <c r="I55" s="19" t="s">
        <v>282</v>
      </c>
      <c r="J55" s="19"/>
      <c r="K55" s="21" t="n">
        <v>46292</v>
      </c>
      <c r="L55" s="22" t="n">
        <f aca="true">IF(K55="","",TODAY()-K55)</f>
        <v>1</v>
      </c>
    </row>
    <row r="56" customFormat="false" ht="35.05" hidden="false" customHeight="false" outlineLevel="0" collapsed="false">
      <c r="A56" s="19" t="s">
        <v>283</v>
      </c>
      <c r="B56" s="20" t="s">
        <v>53</v>
      </c>
      <c r="C56" s="19" t="s">
        <v>284</v>
      </c>
      <c r="D56" s="19" t="s">
        <v>285</v>
      </c>
      <c r="E56" s="19" t="s">
        <v>83</v>
      </c>
      <c r="F56" s="19" t="s">
        <v>29</v>
      </c>
      <c r="G56" s="19" t="s">
        <v>77</v>
      </c>
      <c r="H56" s="19" t="s">
        <v>286</v>
      </c>
      <c r="I56" s="19"/>
      <c r="J56" s="19"/>
      <c r="K56" s="21" t="n">
        <v>46292</v>
      </c>
      <c r="L56" s="22" t="n">
        <f aca="true">IF(K56="","",TODAY()-K56)</f>
        <v>1</v>
      </c>
    </row>
    <row r="57" customFormat="false" ht="23.85" hidden="false" customHeight="false" outlineLevel="0" collapsed="false">
      <c r="A57" s="19" t="s">
        <v>287</v>
      </c>
      <c r="B57" s="20" t="s">
        <v>53</v>
      </c>
      <c r="C57" s="19" t="s">
        <v>284</v>
      </c>
      <c r="D57" s="19" t="s">
        <v>288</v>
      </c>
      <c r="E57" s="19" t="s">
        <v>83</v>
      </c>
      <c r="F57" s="19" t="s">
        <v>11</v>
      </c>
      <c r="G57" s="19" t="s">
        <v>102</v>
      </c>
      <c r="H57" s="19" t="s">
        <v>289</v>
      </c>
      <c r="I57" s="19"/>
      <c r="J57" s="19"/>
      <c r="K57" s="21" t="n">
        <v>46292</v>
      </c>
      <c r="L57" s="22" t="n">
        <f aca="true">IF(K57="","",TODAY()-K57)</f>
        <v>1</v>
      </c>
    </row>
    <row r="58" customFormat="false" ht="23.85" hidden="false" customHeight="false" outlineLevel="0" collapsed="false">
      <c r="A58" s="19" t="s">
        <v>290</v>
      </c>
      <c r="B58" s="20" t="s">
        <v>53</v>
      </c>
      <c r="C58" s="19" t="s">
        <v>291</v>
      </c>
      <c r="D58" s="19" t="s">
        <v>292</v>
      </c>
      <c r="E58" s="19" t="s">
        <v>83</v>
      </c>
      <c r="F58" s="19" t="s">
        <v>11</v>
      </c>
      <c r="G58" s="19" t="s">
        <v>84</v>
      </c>
      <c r="H58" s="19" t="s">
        <v>293</v>
      </c>
      <c r="I58" s="19" t="s">
        <v>294</v>
      </c>
      <c r="J58" s="19"/>
      <c r="K58" s="21" t="n">
        <v>46292</v>
      </c>
      <c r="L58" s="22" t="n">
        <f aca="true">IF(K58="","",TODAY()-K58)</f>
        <v>1</v>
      </c>
    </row>
    <row r="59" customFormat="false" ht="35.05" hidden="false" customHeight="false" outlineLevel="0" collapsed="false">
      <c r="A59" s="19" t="s">
        <v>295</v>
      </c>
      <c r="B59" s="20" t="s">
        <v>53</v>
      </c>
      <c r="C59" s="19" t="s">
        <v>296</v>
      </c>
      <c r="D59" s="19" t="s">
        <v>297</v>
      </c>
      <c r="E59" s="19" t="s">
        <v>83</v>
      </c>
      <c r="F59" s="19" t="s">
        <v>11</v>
      </c>
      <c r="G59" s="19" t="s">
        <v>77</v>
      </c>
      <c r="H59" s="19" t="s">
        <v>298</v>
      </c>
      <c r="I59" s="19" t="s">
        <v>299</v>
      </c>
      <c r="J59" s="19"/>
      <c r="K59" s="21" t="n">
        <v>46292</v>
      </c>
      <c r="L59" s="22" t="n">
        <f aca="true">IF(K59="","",TODAY()-K59)</f>
        <v>1</v>
      </c>
    </row>
    <row r="60" customFormat="false" ht="35.05" hidden="false" customHeight="false" outlineLevel="0" collapsed="false">
      <c r="A60" s="19" t="s">
        <v>300</v>
      </c>
      <c r="B60" s="20" t="s">
        <v>53</v>
      </c>
      <c r="C60" s="19" t="s">
        <v>296</v>
      </c>
      <c r="D60" s="19" t="s">
        <v>301</v>
      </c>
      <c r="E60" s="19" t="s">
        <v>83</v>
      </c>
      <c r="F60" s="19" t="s">
        <v>11</v>
      </c>
      <c r="G60" s="19" t="s">
        <v>84</v>
      </c>
      <c r="H60" s="19" t="s">
        <v>298</v>
      </c>
      <c r="I60" s="19" t="s">
        <v>302</v>
      </c>
      <c r="J60" s="19"/>
      <c r="K60" s="21" t="n">
        <v>46292</v>
      </c>
      <c r="L60" s="22" t="n">
        <f aca="true">IF(K60="","",TODAY()-K60)</f>
        <v>1</v>
      </c>
    </row>
    <row r="61" customFormat="false" ht="23.85" hidden="false" customHeight="false" outlineLevel="0" collapsed="false">
      <c r="A61" s="19" t="s">
        <v>303</v>
      </c>
      <c r="B61" s="20" t="s">
        <v>53</v>
      </c>
      <c r="C61" s="19" t="s">
        <v>304</v>
      </c>
      <c r="D61" s="19" t="s">
        <v>305</v>
      </c>
      <c r="E61" s="19" t="s">
        <v>83</v>
      </c>
      <c r="F61" s="19" t="s">
        <v>11</v>
      </c>
      <c r="G61" s="19" t="s">
        <v>84</v>
      </c>
      <c r="H61" s="19" t="s">
        <v>306</v>
      </c>
      <c r="I61" s="19" t="s">
        <v>307</v>
      </c>
      <c r="J61" s="19"/>
      <c r="K61" s="21" t="n">
        <v>46292</v>
      </c>
      <c r="L61" s="22" t="n">
        <f aca="true">IF(K61="","",TODAY()-K61)</f>
        <v>1</v>
      </c>
    </row>
    <row r="62" customFormat="false" ht="23.85" hidden="false" customHeight="false" outlineLevel="0" collapsed="false">
      <c r="A62" s="19" t="s">
        <v>308</v>
      </c>
      <c r="B62" s="20" t="s">
        <v>53</v>
      </c>
      <c r="C62" s="19" t="s">
        <v>166</v>
      </c>
      <c r="D62" s="19" t="s">
        <v>309</v>
      </c>
      <c r="E62" s="19" t="s">
        <v>83</v>
      </c>
      <c r="F62" s="19" t="s">
        <v>11</v>
      </c>
      <c r="G62" s="19" t="s">
        <v>84</v>
      </c>
      <c r="H62" s="19" t="s">
        <v>310</v>
      </c>
      <c r="I62" s="19"/>
      <c r="J62" s="19"/>
      <c r="K62" s="21" t="n">
        <v>46292</v>
      </c>
      <c r="L62" s="22" t="n">
        <f aca="true">IF(K62="","",TODAY()-K62)</f>
        <v>1</v>
      </c>
    </row>
    <row r="63" customFormat="false" ht="35.05" hidden="false" customHeight="false" outlineLevel="0" collapsed="false">
      <c r="A63" s="19" t="s">
        <v>311</v>
      </c>
      <c r="B63" s="20" t="s">
        <v>53</v>
      </c>
      <c r="C63" s="19" t="s">
        <v>291</v>
      </c>
      <c r="D63" s="19" t="s">
        <v>312</v>
      </c>
      <c r="E63" s="19" t="s">
        <v>76</v>
      </c>
      <c r="F63" s="19" t="s">
        <v>11</v>
      </c>
      <c r="G63" s="19" t="s">
        <v>84</v>
      </c>
      <c r="H63" s="19" t="s">
        <v>313</v>
      </c>
      <c r="I63" s="19" t="s">
        <v>314</v>
      </c>
      <c r="J63" s="19"/>
      <c r="K63" s="21" t="n">
        <v>46293</v>
      </c>
      <c r="L63" s="22" t="n">
        <f aca="true">IF(K63="","",TODAY()-K63)</f>
        <v>0</v>
      </c>
    </row>
    <row r="64" customFormat="false" ht="23.85" hidden="false" customHeight="false" outlineLevel="0" collapsed="false">
      <c r="A64" s="19" t="s">
        <v>315</v>
      </c>
      <c r="B64" s="20" t="s">
        <v>55</v>
      </c>
      <c r="C64" s="19" t="s">
        <v>241</v>
      </c>
      <c r="D64" s="19" t="s">
        <v>316</v>
      </c>
      <c r="E64" s="19" t="s">
        <v>76</v>
      </c>
      <c r="F64" s="19" t="s">
        <v>11</v>
      </c>
      <c r="G64" s="19" t="s">
        <v>77</v>
      </c>
      <c r="H64" s="19" t="s">
        <v>317</v>
      </c>
      <c r="I64" s="19" t="s">
        <v>244</v>
      </c>
      <c r="J64" s="19"/>
      <c r="K64" s="21" t="n">
        <v>46292</v>
      </c>
      <c r="L64" s="22" t="n">
        <f aca="true">IF(K64="","",TODAY()-K64)</f>
        <v>1</v>
      </c>
    </row>
    <row r="65" customFormat="false" ht="23.85" hidden="false" customHeight="false" outlineLevel="0" collapsed="false">
      <c r="A65" s="19" t="s">
        <v>318</v>
      </c>
      <c r="B65" s="20" t="s">
        <v>55</v>
      </c>
      <c r="C65" s="19" t="s">
        <v>95</v>
      </c>
      <c r="D65" s="19" t="s">
        <v>319</v>
      </c>
      <c r="E65" s="19" t="s">
        <v>76</v>
      </c>
      <c r="F65" s="19" t="s">
        <v>11</v>
      </c>
      <c r="G65" s="19" t="s">
        <v>84</v>
      </c>
      <c r="H65" s="19" t="s">
        <v>320</v>
      </c>
      <c r="I65" s="19" t="s">
        <v>321</v>
      </c>
      <c r="J65" s="19"/>
      <c r="K65" s="21" t="n">
        <v>46292</v>
      </c>
      <c r="L65" s="22" t="n">
        <f aca="true">IF(K65="","",TODAY()-K65)</f>
        <v>1</v>
      </c>
    </row>
    <row r="66" customFormat="false" ht="35.05" hidden="false" customHeight="false" outlineLevel="0" collapsed="false">
      <c r="A66" s="19" t="s">
        <v>322</v>
      </c>
      <c r="B66" s="20" t="s">
        <v>55</v>
      </c>
      <c r="C66" s="19" t="s">
        <v>189</v>
      </c>
      <c r="D66" s="19" t="s">
        <v>323</v>
      </c>
      <c r="E66" s="19" t="s">
        <v>83</v>
      </c>
      <c r="F66" s="19" t="s">
        <v>11</v>
      </c>
      <c r="G66" s="19" t="s">
        <v>84</v>
      </c>
      <c r="H66" s="19" t="s">
        <v>324</v>
      </c>
      <c r="I66" s="19"/>
      <c r="J66" s="19"/>
      <c r="K66" s="21" t="n">
        <v>46292</v>
      </c>
      <c r="L66" s="22" t="n">
        <f aca="true">IF(K66="","",TODAY()-K66)</f>
        <v>1</v>
      </c>
    </row>
    <row r="67" customFormat="false" ht="15" hidden="false" customHeight="false" outlineLevel="0" collapsed="false">
      <c r="A67" s="19" t="s">
        <v>325</v>
      </c>
      <c r="B67" s="20" t="s">
        <v>55</v>
      </c>
      <c r="C67" s="19" t="s">
        <v>189</v>
      </c>
      <c r="D67" s="19" t="s">
        <v>326</v>
      </c>
      <c r="E67" s="19" t="s">
        <v>83</v>
      </c>
      <c r="F67" s="19" t="s">
        <v>11</v>
      </c>
      <c r="G67" s="19" t="s">
        <v>102</v>
      </c>
      <c r="H67" s="19" t="s">
        <v>327</v>
      </c>
      <c r="I67" s="19" t="s">
        <v>328</v>
      </c>
      <c r="J67" s="19"/>
      <c r="K67" s="21" t="n">
        <v>46292</v>
      </c>
      <c r="L67" s="22" t="n">
        <f aca="true">IF(K67="","",TODAY()-K67)</f>
        <v>1</v>
      </c>
    </row>
    <row r="68" customFormat="false" ht="23.85" hidden="false" customHeight="false" outlineLevel="0" collapsed="false">
      <c r="A68" s="19" t="s">
        <v>329</v>
      </c>
      <c r="B68" s="20" t="s">
        <v>55</v>
      </c>
      <c r="C68" s="19" t="s">
        <v>189</v>
      </c>
      <c r="D68" s="19" t="s">
        <v>330</v>
      </c>
      <c r="E68" s="19" t="s">
        <v>76</v>
      </c>
      <c r="F68" s="19" t="s">
        <v>11</v>
      </c>
      <c r="G68" s="19" t="s">
        <v>102</v>
      </c>
      <c r="H68" s="19" t="s">
        <v>331</v>
      </c>
      <c r="I68" s="19"/>
      <c r="J68" s="19"/>
      <c r="K68" s="21" t="n">
        <v>46292</v>
      </c>
      <c r="L68" s="22" t="n">
        <f aca="true">IF(K68="","",TODAY()-K68)</f>
        <v>1</v>
      </c>
    </row>
    <row r="69" customFormat="false" ht="23.85" hidden="false" customHeight="false" outlineLevel="0" collapsed="false">
      <c r="A69" s="19" t="s">
        <v>332</v>
      </c>
      <c r="B69" s="20" t="s">
        <v>55</v>
      </c>
      <c r="C69" s="19" t="s">
        <v>271</v>
      </c>
      <c r="D69" s="19" t="s">
        <v>333</v>
      </c>
      <c r="E69" s="19" t="s">
        <v>273</v>
      </c>
      <c r="F69" s="19" t="s">
        <v>11</v>
      </c>
      <c r="G69" s="19" t="s">
        <v>102</v>
      </c>
      <c r="H69" s="19" t="s">
        <v>334</v>
      </c>
      <c r="I69" s="19"/>
      <c r="J69" s="19"/>
      <c r="K69" s="21" t="n">
        <v>46292</v>
      </c>
      <c r="L69" s="22" t="n">
        <f aca="true">IF(K69="","",TODAY()-K69)</f>
        <v>1</v>
      </c>
    </row>
    <row r="70" customFormat="false" ht="46.25" hidden="false" customHeight="false" outlineLevel="0" collapsed="false">
      <c r="A70" s="19" t="s">
        <v>335</v>
      </c>
      <c r="B70" s="20" t="s">
        <v>57</v>
      </c>
      <c r="C70" s="19" t="s">
        <v>336</v>
      </c>
      <c r="D70" s="19" t="s">
        <v>337</v>
      </c>
      <c r="E70" s="19" t="s">
        <v>83</v>
      </c>
      <c r="F70" s="19" t="s">
        <v>29</v>
      </c>
      <c r="G70" s="19" t="s">
        <v>77</v>
      </c>
      <c r="H70" s="19" t="s">
        <v>338</v>
      </c>
      <c r="I70" s="19" t="s">
        <v>339</v>
      </c>
      <c r="J70" s="19"/>
      <c r="K70" s="21" t="n">
        <v>46292</v>
      </c>
      <c r="L70" s="22" t="n">
        <f aca="true">IF(K70="","",TODAY()-K70)</f>
        <v>1</v>
      </c>
    </row>
    <row r="71" customFormat="false" ht="23.85" hidden="false" customHeight="false" outlineLevel="0" collapsed="false">
      <c r="A71" s="19" t="s">
        <v>340</v>
      </c>
      <c r="B71" s="20" t="s">
        <v>57</v>
      </c>
      <c r="C71" s="19" t="s">
        <v>336</v>
      </c>
      <c r="D71" s="19" t="s">
        <v>341</v>
      </c>
      <c r="E71" s="19" t="s">
        <v>83</v>
      </c>
      <c r="F71" s="19" t="s">
        <v>11</v>
      </c>
      <c r="G71" s="19" t="s">
        <v>77</v>
      </c>
      <c r="H71" s="19" t="s">
        <v>342</v>
      </c>
      <c r="I71" s="19"/>
      <c r="J71" s="19"/>
      <c r="K71" s="21" t="n">
        <v>46292</v>
      </c>
      <c r="L71" s="22" t="n">
        <f aca="true">IF(K71="","",TODAY()-K71)</f>
        <v>1</v>
      </c>
    </row>
    <row r="72" customFormat="false" ht="23.85" hidden="false" customHeight="false" outlineLevel="0" collapsed="false">
      <c r="A72" s="19" t="s">
        <v>343</v>
      </c>
      <c r="B72" s="20" t="s">
        <v>57</v>
      </c>
      <c r="C72" s="19" t="s">
        <v>336</v>
      </c>
      <c r="D72" s="19" t="s">
        <v>344</v>
      </c>
      <c r="E72" s="19" t="s">
        <v>83</v>
      </c>
      <c r="F72" s="19" t="s">
        <v>11</v>
      </c>
      <c r="G72" s="19" t="s">
        <v>84</v>
      </c>
      <c r="H72" s="19" t="s">
        <v>342</v>
      </c>
      <c r="I72" s="19"/>
      <c r="J72" s="19"/>
      <c r="K72" s="21" t="n">
        <v>46292</v>
      </c>
      <c r="L72" s="22" t="n">
        <f aca="true">IF(K72="","",TODAY()-K72)</f>
        <v>1</v>
      </c>
    </row>
    <row r="73" customFormat="false" ht="23.85" hidden="false" customHeight="false" outlineLevel="0" collapsed="false">
      <c r="A73" s="19" t="s">
        <v>345</v>
      </c>
      <c r="B73" s="20" t="s">
        <v>57</v>
      </c>
      <c r="C73" s="19" t="s">
        <v>336</v>
      </c>
      <c r="D73" s="19" t="s">
        <v>346</v>
      </c>
      <c r="E73" s="19" t="s">
        <v>83</v>
      </c>
      <c r="F73" s="19" t="s">
        <v>11</v>
      </c>
      <c r="G73" s="19" t="s">
        <v>84</v>
      </c>
      <c r="H73" s="19" t="s">
        <v>342</v>
      </c>
      <c r="I73" s="19"/>
      <c r="J73" s="19"/>
      <c r="K73" s="21" t="n">
        <v>46292</v>
      </c>
      <c r="L73" s="22" t="n">
        <f aca="true">IF(K73="","",TODAY()-K73)</f>
        <v>1</v>
      </c>
    </row>
    <row r="74" customFormat="false" ht="23.85" hidden="false" customHeight="false" outlineLevel="0" collapsed="false">
      <c r="A74" s="19" t="s">
        <v>347</v>
      </c>
      <c r="B74" s="20" t="s">
        <v>57</v>
      </c>
      <c r="C74" s="19" t="s">
        <v>336</v>
      </c>
      <c r="D74" s="19" t="s">
        <v>348</v>
      </c>
      <c r="E74" s="19" t="s">
        <v>83</v>
      </c>
      <c r="F74" s="19" t="s">
        <v>11</v>
      </c>
      <c r="G74" s="19" t="s">
        <v>102</v>
      </c>
      <c r="H74" s="19" t="s">
        <v>342</v>
      </c>
      <c r="I74" s="19"/>
      <c r="J74" s="19"/>
      <c r="K74" s="21" t="n">
        <v>46292</v>
      </c>
      <c r="L74" s="22" t="n">
        <f aca="true">IF(K74="","",TODAY()-K74)</f>
        <v>1</v>
      </c>
    </row>
    <row r="75" customFormat="false" ht="23.85" hidden="false" customHeight="false" outlineLevel="0" collapsed="false">
      <c r="A75" s="19" t="s">
        <v>349</v>
      </c>
      <c r="B75" s="20" t="s">
        <v>57</v>
      </c>
      <c r="C75" s="19" t="s">
        <v>350</v>
      </c>
      <c r="D75" s="19" t="s">
        <v>351</v>
      </c>
      <c r="E75" s="19" t="s">
        <v>352</v>
      </c>
      <c r="F75" s="19" t="s">
        <v>11</v>
      </c>
      <c r="G75" s="19" t="s">
        <v>77</v>
      </c>
      <c r="H75" s="19" t="s">
        <v>353</v>
      </c>
      <c r="I75" s="19"/>
      <c r="J75" s="19"/>
      <c r="K75" s="21" t="n">
        <v>46292</v>
      </c>
      <c r="L75" s="22" t="n">
        <f aca="true">IF(K75="","",TODAY()-K75)</f>
        <v>1</v>
      </c>
    </row>
    <row r="76" customFormat="false" ht="23.85" hidden="false" customHeight="false" outlineLevel="0" collapsed="false">
      <c r="A76" s="19" t="s">
        <v>354</v>
      </c>
      <c r="B76" s="20" t="s">
        <v>57</v>
      </c>
      <c r="C76" s="19" t="s">
        <v>350</v>
      </c>
      <c r="D76" s="19" t="s">
        <v>355</v>
      </c>
      <c r="E76" s="19" t="s">
        <v>83</v>
      </c>
      <c r="F76" s="19" t="s">
        <v>11</v>
      </c>
      <c r="G76" s="19" t="s">
        <v>84</v>
      </c>
      <c r="H76" s="19" t="s">
        <v>356</v>
      </c>
      <c r="I76" s="19"/>
      <c r="J76" s="19"/>
      <c r="K76" s="21" t="n">
        <v>46292</v>
      </c>
      <c r="L76" s="22" t="n">
        <f aca="true">IF(K76="","",TODAY()-K76)</f>
        <v>1</v>
      </c>
    </row>
    <row r="77" customFormat="false" ht="15" hidden="false" customHeight="false" outlineLevel="0" collapsed="false">
      <c r="A77" s="19" t="s">
        <v>357</v>
      </c>
      <c r="B77" s="20" t="s">
        <v>57</v>
      </c>
      <c r="C77" s="19" t="s">
        <v>350</v>
      </c>
      <c r="D77" s="19" t="s">
        <v>358</v>
      </c>
      <c r="E77" s="19" t="s">
        <v>83</v>
      </c>
      <c r="F77" s="19" t="s">
        <v>11</v>
      </c>
      <c r="G77" s="19" t="s">
        <v>84</v>
      </c>
      <c r="H77" s="19" t="s">
        <v>356</v>
      </c>
      <c r="I77" s="19" t="s">
        <v>359</v>
      </c>
      <c r="J77" s="19"/>
      <c r="K77" s="21" t="n">
        <v>46292</v>
      </c>
      <c r="L77" s="22" t="n">
        <f aca="true">IF(K77="","",TODAY()-K77)</f>
        <v>1</v>
      </c>
    </row>
    <row r="78" customFormat="false" ht="23.85" hidden="false" customHeight="false" outlineLevel="0" collapsed="false">
      <c r="A78" s="19" t="s">
        <v>360</v>
      </c>
      <c r="B78" s="20" t="s">
        <v>57</v>
      </c>
      <c r="C78" s="19" t="s">
        <v>74</v>
      </c>
      <c r="D78" s="19" t="s">
        <v>361</v>
      </c>
      <c r="E78" s="19" t="s">
        <v>76</v>
      </c>
      <c r="F78" s="19" t="s">
        <v>11</v>
      </c>
      <c r="G78" s="19" t="s">
        <v>77</v>
      </c>
      <c r="H78" s="19" t="s">
        <v>362</v>
      </c>
      <c r="I78" s="19" t="s">
        <v>363</v>
      </c>
      <c r="J78" s="19"/>
      <c r="K78" s="21" t="n">
        <v>46292</v>
      </c>
      <c r="L78" s="22" t="n">
        <f aca="true">IF(K78="","",TODAY()-K78)</f>
        <v>1</v>
      </c>
    </row>
    <row r="79" customFormat="false" ht="35.05" hidden="false" customHeight="false" outlineLevel="0" collapsed="false">
      <c r="A79" s="19" t="s">
        <v>364</v>
      </c>
      <c r="B79" s="20" t="s">
        <v>57</v>
      </c>
      <c r="C79" s="19" t="s">
        <v>140</v>
      </c>
      <c r="D79" s="19" t="s">
        <v>365</v>
      </c>
      <c r="E79" s="19" t="s">
        <v>76</v>
      </c>
      <c r="F79" s="19" t="s">
        <v>11</v>
      </c>
      <c r="G79" s="19" t="s">
        <v>84</v>
      </c>
      <c r="H79" s="19" t="s">
        <v>366</v>
      </c>
      <c r="I79" s="19" t="s">
        <v>367</v>
      </c>
      <c r="J79" s="19"/>
      <c r="K79" s="21" t="n">
        <v>46292</v>
      </c>
      <c r="L79" s="22" t="n">
        <f aca="true">IF(K79="","",TODAY()-K79)</f>
        <v>1</v>
      </c>
    </row>
    <row r="80" customFormat="false" ht="46.25" hidden="false" customHeight="false" outlineLevel="0" collapsed="false">
      <c r="A80" s="19" t="s">
        <v>368</v>
      </c>
      <c r="B80" s="20" t="s">
        <v>57</v>
      </c>
      <c r="C80" s="19" t="s">
        <v>189</v>
      </c>
      <c r="D80" s="19" t="s">
        <v>369</v>
      </c>
      <c r="E80" s="19" t="s">
        <v>76</v>
      </c>
      <c r="F80" s="19" t="s">
        <v>29</v>
      </c>
      <c r="G80" s="19" t="s">
        <v>102</v>
      </c>
      <c r="H80" s="19" t="s">
        <v>370</v>
      </c>
      <c r="I80" s="19" t="s">
        <v>371</v>
      </c>
      <c r="J80" s="19"/>
      <c r="K80" s="21" t="n">
        <v>46292</v>
      </c>
      <c r="L80" s="22" t="n">
        <f aca="true">IF(K80="","",TODAY()-K80)</f>
        <v>1</v>
      </c>
    </row>
    <row r="81" customFormat="false" ht="23.85" hidden="false" customHeight="false" outlineLevel="0" collapsed="false">
      <c r="A81" s="19" t="s">
        <v>372</v>
      </c>
      <c r="B81" s="20" t="s">
        <v>57</v>
      </c>
      <c r="C81" s="19" t="s">
        <v>336</v>
      </c>
      <c r="D81" s="19" t="s">
        <v>373</v>
      </c>
      <c r="E81" s="19" t="s">
        <v>76</v>
      </c>
      <c r="F81" s="19" t="s">
        <v>11</v>
      </c>
      <c r="G81" s="19" t="s">
        <v>102</v>
      </c>
      <c r="H81" s="19" t="s">
        <v>374</v>
      </c>
      <c r="I81" s="19" t="s">
        <v>375</v>
      </c>
      <c r="J81" s="19"/>
      <c r="K81" s="21" t="n">
        <v>46292</v>
      </c>
      <c r="L81" s="22" t="n">
        <f aca="true">IF(K81="","",TODAY()-K81)</f>
        <v>1</v>
      </c>
    </row>
    <row r="82" customFormat="false" ht="35.05" hidden="false" customHeight="false" outlineLevel="0" collapsed="false">
      <c r="A82" s="19" t="s">
        <v>376</v>
      </c>
      <c r="B82" s="20" t="s">
        <v>57</v>
      </c>
      <c r="C82" s="19" t="s">
        <v>74</v>
      </c>
      <c r="D82" s="19" t="s">
        <v>377</v>
      </c>
      <c r="E82" s="19" t="s">
        <v>76</v>
      </c>
      <c r="F82" s="19" t="s">
        <v>11</v>
      </c>
      <c r="G82" s="19" t="s">
        <v>102</v>
      </c>
      <c r="H82" s="19" t="s">
        <v>378</v>
      </c>
      <c r="I82" s="19" t="s">
        <v>379</v>
      </c>
      <c r="J82" s="19"/>
      <c r="K82" s="21" t="n">
        <v>46292</v>
      </c>
      <c r="L82" s="22" t="n">
        <f aca="true">IF(K82="","",TODAY()-K82)</f>
        <v>1</v>
      </c>
    </row>
    <row r="83" customFormat="false" ht="23.85" hidden="false" customHeight="false" outlineLevel="0" collapsed="false">
      <c r="A83" s="19" t="s">
        <v>380</v>
      </c>
      <c r="B83" s="20" t="s">
        <v>57</v>
      </c>
      <c r="C83" s="19" t="s">
        <v>95</v>
      </c>
      <c r="D83" s="19" t="s">
        <v>381</v>
      </c>
      <c r="E83" s="19" t="s">
        <v>83</v>
      </c>
      <c r="F83" s="19" t="s">
        <v>11</v>
      </c>
      <c r="G83" s="19" t="s">
        <v>84</v>
      </c>
      <c r="H83" s="19" t="s">
        <v>382</v>
      </c>
      <c r="I83" s="19" t="s">
        <v>383</v>
      </c>
      <c r="J83" s="19"/>
      <c r="K83" s="21" t="n">
        <v>46292</v>
      </c>
      <c r="L83" s="22" t="n">
        <f aca="true">IF(K83="","",TODAY()-K83)</f>
        <v>1</v>
      </c>
    </row>
    <row r="84" customFormat="false" ht="23.85" hidden="false" customHeight="false" outlineLevel="0" collapsed="false">
      <c r="A84" s="19" t="s">
        <v>384</v>
      </c>
      <c r="B84" s="20" t="s">
        <v>57</v>
      </c>
      <c r="C84" s="19" t="s">
        <v>241</v>
      </c>
      <c r="D84" s="19" t="s">
        <v>385</v>
      </c>
      <c r="E84" s="19" t="s">
        <v>352</v>
      </c>
      <c r="F84" s="19" t="s">
        <v>11</v>
      </c>
      <c r="G84" s="19" t="s">
        <v>84</v>
      </c>
      <c r="H84" s="19" t="s">
        <v>386</v>
      </c>
      <c r="I84" s="19" t="s">
        <v>387</v>
      </c>
      <c r="J84" s="19"/>
      <c r="K84" s="21" t="n">
        <v>46292</v>
      </c>
      <c r="L84" s="22" t="n">
        <f aca="true">IF(K84="","",TODAY()-K84)</f>
        <v>1</v>
      </c>
    </row>
    <row r="85" customFormat="false" ht="35.05" hidden="false" customHeight="false" outlineLevel="0" collapsed="false">
      <c r="A85" s="19" t="s">
        <v>388</v>
      </c>
      <c r="B85" s="20" t="s">
        <v>59</v>
      </c>
      <c r="C85" s="19" t="s">
        <v>74</v>
      </c>
      <c r="D85" s="19" t="s">
        <v>389</v>
      </c>
      <c r="E85" s="19" t="s">
        <v>83</v>
      </c>
      <c r="F85" s="19" t="s">
        <v>14</v>
      </c>
      <c r="G85" s="19" t="s">
        <v>77</v>
      </c>
      <c r="H85" s="19" t="s">
        <v>390</v>
      </c>
      <c r="I85" s="19" t="s">
        <v>391</v>
      </c>
      <c r="J85" s="19"/>
      <c r="K85" s="21" t="n">
        <v>46293</v>
      </c>
      <c r="L85" s="22" t="n">
        <f aca="true">IF(K85="","",TODAY()-K85)</f>
        <v>0</v>
      </c>
    </row>
    <row r="86" customFormat="false" ht="23.85" hidden="false" customHeight="false" outlineLevel="0" collapsed="false">
      <c r="A86" s="19" t="s">
        <v>392</v>
      </c>
      <c r="B86" s="20" t="s">
        <v>59</v>
      </c>
      <c r="C86" s="19" t="s">
        <v>393</v>
      </c>
      <c r="D86" s="19" t="s">
        <v>394</v>
      </c>
      <c r="E86" s="19" t="s">
        <v>83</v>
      </c>
      <c r="F86" s="19" t="s">
        <v>11</v>
      </c>
      <c r="G86" s="19" t="s">
        <v>77</v>
      </c>
      <c r="H86" s="19" t="s">
        <v>395</v>
      </c>
      <c r="I86" s="19" t="s">
        <v>396</v>
      </c>
      <c r="J86" s="19"/>
      <c r="K86" s="21" t="n">
        <v>46293</v>
      </c>
      <c r="L86" s="22" t="n">
        <f aca="true">IF(K86="","",TODAY()-K86)</f>
        <v>0</v>
      </c>
    </row>
    <row r="87" customFormat="false" ht="23.85" hidden="false" customHeight="false" outlineLevel="0" collapsed="false">
      <c r="A87" s="19" t="s">
        <v>397</v>
      </c>
      <c r="B87" s="20" t="s">
        <v>59</v>
      </c>
      <c r="C87" s="19" t="s">
        <v>393</v>
      </c>
      <c r="D87" s="19" t="s">
        <v>398</v>
      </c>
      <c r="E87" s="19" t="s">
        <v>83</v>
      </c>
      <c r="F87" s="19" t="s">
        <v>11</v>
      </c>
      <c r="G87" s="19" t="s">
        <v>77</v>
      </c>
      <c r="H87" s="19" t="s">
        <v>399</v>
      </c>
      <c r="I87" s="19" t="s">
        <v>400</v>
      </c>
      <c r="J87" s="19"/>
      <c r="K87" s="21" t="n">
        <v>46293</v>
      </c>
      <c r="L87" s="22" t="n">
        <f aca="true">IF(K87="","",TODAY()-K87)</f>
        <v>0</v>
      </c>
    </row>
    <row r="88" customFormat="false" ht="23.85" hidden="false" customHeight="false" outlineLevel="0" collapsed="false">
      <c r="A88" s="19" t="s">
        <v>401</v>
      </c>
      <c r="B88" s="20" t="s">
        <v>59</v>
      </c>
      <c r="C88" s="19" t="s">
        <v>402</v>
      </c>
      <c r="D88" s="19" t="s">
        <v>403</v>
      </c>
      <c r="E88" s="19" t="s">
        <v>83</v>
      </c>
      <c r="F88" s="19" t="s">
        <v>11</v>
      </c>
      <c r="G88" s="19" t="s">
        <v>84</v>
      </c>
      <c r="H88" s="19" t="s">
        <v>404</v>
      </c>
      <c r="I88" s="19" t="s">
        <v>405</v>
      </c>
      <c r="J88" s="19"/>
      <c r="K88" s="21" t="n">
        <v>46293</v>
      </c>
      <c r="L88" s="22" t="n">
        <f aca="true">IF(K88="","",TODAY()-K88)</f>
        <v>0</v>
      </c>
    </row>
    <row r="89" customFormat="false" ht="23.85" hidden="false" customHeight="false" outlineLevel="0" collapsed="false">
      <c r="A89" s="19" t="s">
        <v>406</v>
      </c>
      <c r="B89" s="20" t="s">
        <v>59</v>
      </c>
      <c r="C89" s="19" t="s">
        <v>393</v>
      </c>
      <c r="D89" s="19" t="s">
        <v>407</v>
      </c>
      <c r="E89" s="19" t="s">
        <v>83</v>
      </c>
      <c r="F89" s="19" t="s">
        <v>11</v>
      </c>
      <c r="G89" s="19" t="s">
        <v>84</v>
      </c>
      <c r="H89" s="19" t="s">
        <v>408</v>
      </c>
      <c r="I89" s="19" t="s">
        <v>409</v>
      </c>
      <c r="J89" s="19"/>
      <c r="K89" s="21" t="n">
        <v>46293</v>
      </c>
      <c r="L89" s="22" t="n">
        <f aca="true">IF(K89="","",TODAY()-K89)</f>
        <v>0</v>
      </c>
    </row>
    <row r="90" customFormat="false" ht="23.85" hidden="false" customHeight="false" outlineLevel="0" collapsed="false">
      <c r="A90" s="19" t="s">
        <v>410</v>
      </c>
      <c r="B90" s="20" t="s">
        <v>59</v>
      </c>
      <c r="C90" s="19" t="s">
        <v>291</v>
      </c>
      <c r="D90" s="19" t="s">
        <v>411</v>
      </c>
      <c r="E90" s="19" t="s">
        <v>352</v>
      </c>
      <c r="F90" s="19" t="s">
        <v>20</v>
      </c>
      <c r="G90" s="19" t="s">
        <v>77</v>
      </c>
      <c r="H90" s="19" t="s">
        <v>412</v>
      </c>
      <c r="I90" s="19" t="s">
        <v>413</v>
      </c>
      <c r="J90" s="19"/>
      <c r="K90" s="21" t="n">
        <v>46293</v>
      </c>
      <c r="L90" s="22" t="n">
        <f aca="true">IF(K90="","",TODAY()-K90)</f>
        <v>0</v>
      </c>
    </row>
    <row r="91" customFormat="false" ht="35.05" hidden="false" customHeight="false" outlineLevel="0" collapsed="false">
      <c r="A91" s="19" t="s">
        <v>414</v>
      </c>
      <c r="B91" s="20" t="s">
        <v>59</v>
      </c>
      <c r="C91" s="19" t="s">
        <v>291</v>
      </c>
      <c r="D91" s="19" t="s">
        <v>415</v>
      </c>
      <c r="E91" s="19" t="s">
        <v>352</v>
      </c>
      <c r="F91" s="19" t="s">
        <v>20</v>
      </c>
      <c r="G91" s="19" t="s">
        <v>84</v>
      </c>
      <c r="H91" s="19" t="s">
        <v>416</v>
      </c>
      <c r="I91" s="19" t="s">
        <v>417</v>
      </c>
      <c r="J91" s="19"/>
      <c r="K91" s="21" t="n">
        <v>46293</v>
      </c>
      <c r="L91" s="22" t="n">
        <f aca="true">IF(K91="","",TODAY()-K91)</f>
        <v>0</v>
      </c>
    </row>
    <row r="92" customFormat="false" ht="23.85" hidden="false" customHeight="false" outlineLevel="0" collapsed="false">
      <c r="A92" s="19" t="s">
        <v>418</v>
      </c>
      <c r="B92" s="20" t="s">
        <v>59</v>
      </c>
      <c r="C92" s="19" t="s">
        <v>419</v>
      </c>
      <c r="D92" s="19" t="s">
        <v>420</v>
      </c>
      <c r="E92" s="19" t="s">
        <v>352</v>
      </c>
      <c r="F92" s="19" t="s">
        <v>11</v>
      </c>
      <c r="G92" s="19" t="s">
        <v>84</v>
      </c>
      <c r="H92" s="19" t="s">
        <v>421</v>
      </c>
      <c r="I92" s="19" t="s">
        <v>422</v>
      </c>
      <c r="J92" s="19"/>
      <c r="K92" s="21" t="n">
        <v>46293</v>
      </c>
      <c r="L92" s="22" t="n">
        <f aca="true">IF(K92="","",TODAY()-K92)</f>
        <v>0</v>
      </c>
    </row>
    <row r="93" customFormat="false" ht="35.05" hidden="false" customHeight="false" outlineLevel="0" collapsed="false">
      <c r="A93" s="19" t="s">
        <v>423</v>
      </c>
      <c r="B93" s="20" t="s">
        <v>59</v>
      </c>
      <c r="C93" s="19" t="s">
        <v>74</v>
      </c>
      <c r="D93" s="19" t="s">
        <v>424</v>
      </c>
      <c r="E93" s="19" t="s">
        <v>76</v>
      </c>
      <c r="F93" s="19" t="s">
        <v>11</v>
      </c>
      <c r="G93" s="19" t="s">
        <v>77</v>
      </c>
      <c r="H93" s="19" t="s">
        <v>425</v>
      </c>
      <c r="I93" s="19" t="s">
        <v>426</v>
      </c>
      <c r="J93" s="19"/>
      <c r="K93" s="21" t="n">
        <v>46293</v>
      </c>
      <c r="L93" s="22" t="n">
        <f aca="true">IF(K93="","",TODAY()-K93)</f>
        <v>0</v>
      </c>
    </row>
    <row r="94" customFormat="false" ht="46.25" hidden="false" customHeight="false" outlineLevel="0" collapsed="false">
      <c r="A94" s="19" t="s">
        <v>427</v>
      </c>
      <c r="B94" s="20" t="s">
        <v>59</v>
      </c>
      <c r="C94" s="19" t="s">
        <v>74</v>
      </c>
      <c r="D94" s="19" t="s">
        <v>428</v>
      </c>
      <c r="E94" s="19" t="s">
        <v>352</v>
      </c>
      <c r="F94" s="19" t="s">
        <v>11</v>
      </c>
      <c r="G94" s="19" t="s">
        <v>77</v>
      </c>
      <c r="H94" s="19" t="s">
        <v>429</v>
      </c>
      <c r="I94" s="19" t="s">
        <v>430</v>
      </c>
      <c r="J94" s="19"/>
      <c r="K94" s="21" t="n">
        <v>46293</v>
      </c>
      <c r="L94" s="22" t="n">
        <f aca="true">IF(K94="","",TODAY()-K94)</f>
        <v>0</v>
      </c>
    </row>
  </sheetData>
  <autoFilter ref="A4:L94"/>
  <mergeCells count="1">
    <mergeCell ref="A2:L2"/>
  </mergeCells>
  <conditionalFormatting sqref="A5:L294">
    <cfRule type="expression" priority="2" aboveAverage="0" equalAverage="0" bottom="0" percent="0" rank="0" text="" dxfId="14">
      <formula>$F5="No iniciado"</formula>
    </cfRule>
    <cfRule type="expression" priority="3" aboveAverage="0" equalAverage="0" bottom="0" percent="0" rank="0" text="" dxfId="15">
      <formula>$F5="En progreso"</formula>
    </cfRule>
    <cfRule type="expression" priority="4" aboveAverage="0" equalAverage="0" bottom="0" percent="0" rank="0" text="" dxfId="16">
      <formula>$F5="Parcial"</formula>
    </cfRule>
    <cfRule type="expression" priority="5" aboveAverage="0" equalAverage="0" bottom="0" percent="0" rank="0" text="" dxfId="17">
      <formula>$F5="Terminado"</formula>
    </cfRule>
    <cfRule type="expression" priority="6" aboveAverage="0" equalAverage="0" bottom="0" percent="0" rank="0" text="" dxfId="18">
      <formula>$F5="Bloqueado"</formula>
    </cfRule>
    <cfRule type="expression" priority="7" aboveAverage="0" equalAverage="0" bottom="0" percent="0" rank="0" text="" dxfId="19">
      <formula>$F5="Descartado"</formula>
    </cfRule>
    <cfRule type="expression" priority="8" aboveAverage="0" equalAverage="0" bottom="0" percent="0" rank="0" text="" dxfId="20">
      <formula>$F5="Por verificar"</formula>
    </cfRule>
  </conditionalFormatting>
  <conditionalFormatting sqref="G5:G294">
    <cfRule type="expression" priority="9" aboveAverage="0" equalAverage="0" bottom="0" percent="0" rank="0" text="" dxfId="21">
      <formula>AND($G5="Alta",$F5&lt;&gt;"Terminado",$F5&lt;&gt;"Descartado")</formula>
    </cfRule>
  </conditionalFormatting>
  <dataValidations count="5">
    <dataValidation allowBlank="true" error="Elija un valor de la lista." errorStyle="stop" errorTitle="Valor no válido" operator="between" showDropDown="false" showErrorMessage="true" showInputMessage="false" sqref="F5:F294" type="list">
      <formula1>"No iniciado,En progreso,Parcial,Terminado,Bloqueado,Descartado,Por verificar"</formula1>
      <formula2>0</formula2>
    </dataValidation>
    <dataValidation allowBlank="true" error="Elija un valor de la lista." errorStyle="stop" errorTitle="Valor no válido" operator="between" showDropDown="false" showErrorMessage="true" showInputMessage="false" sqref="G5:G294" type="list">
      <formula1>"Alta,Media,Baja"</formula1>
      <formula2>0</formula2>
    </dataValidation>
    <dataValidation allowBlank="true" error="Elija un valor de la lista." errorStyle="stop" errorTitle="Valor no válido" operator="between" showDropDown="false" showErrorMessage="true" showInputMessage="false" sqref="E5:E294" type="list">
      <formula1>"Pendiente del plan,Observación / defecto,Trabajo futuro,Decisión pendiente,Mantenimiento de docs"</formula1>
      <formula2>0</formula2>
    </dataValidation>
    <dataValidation allowBlank="true" error="Elija un valor de la lista." errorStyle="stop" errorTitle="Valor no válido" operator="between" showDropDown="false" showErrorMessage="true" showInputMessage="false" sqref="J5:J294" type="list">
      <formula1>"Luis,Elizabeth,Miguel,Equipo,Agente (Claude Code)"</formula1>
      <formula2>0</formula2>
    </dataValidation>
    <dataValidation allowBlank="true" error="Escriba una fecha (dd-mm-aaaa)." errorStyle="stop" operator="greaterThan" showDropDown="false" showErrorMessage="true" showInputMessage="false" sqref="K5:K294" type="date">
      <formula1>DATE(2026,1,1)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A3F6E"/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4" min="3" style="0" width="15"/>
    <col collapsed="false" customWidth="true" hidden="false" outlineLevel="0" max="5" min="5" style="0" width="18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431</v>
      </c>
    </row>
    <row r="2" customFormat="false" ht="15" hidden="false" customHeight="false" outlineLevel="0" collapsed="false">
      <c r="A2" s="2" t="s">
        <v>432</v>
      </c>
    </row>
    <row r="4" customFormat="false" ht="15" hidden="false" customHeight="false" outlineLevel="0" collapsed="false">
      <c r="A4" s="23" t="s">
        <v>433</v>
      </c>
      <c r="B4" s="23" t="s">
        <v>63</v>
      </c>
      <c r="C4" s="23" t="s">
        <v>434</v>
      </c>
      <c r="D4" s="23" t="s">
        <v>435</v>
      </c>
      <c r="E4" s="23" t="s">
        <v>436</v>
      </c>
      <c r="F4" s="23" t="s">
        <v>437</v>
      </c>
    </row>
    <row r="5" customFormat="false" ht="23.85" hidden="false" customHeight="false" outlineLevel="0" collapsed="false">
      <c r="A5" s="21" t="n">
        <v>46292</v>
      </c>
      <c r="B5" s="19" t="s">
        <v>438</v>
      </c>
      <c r="C5" s="19" t="s">
        <v>438</v>
      </c>
      <c r="D5" s="19" t="s">
        <v>438</v>
      </c>
      <c r="E5" s="19" t="s">
        <v>439</v>
      </c>
      <c r="F5" s="19" t="s">
        <v>440</v>
      </c>
    </row>
    <row r="6" customFormat="false" ht="35.05" hidden="false" customHeight="false" outlineLevel="0" collapsed="false">
      <c r="A6" s="21" t="n">
        <v>46293</v>
      </c>
      <c r="B6" s="19" t="s">
        <v>441</v>
      </c>
      <c r="C6" s="19" t="s">
        <v>438</v>
      </c>
      <c r="D6" s="19" t="s">
        <v>11</v>
      </c>
      <c r="E6" s="19" t="s">
        <v>439</v>
      </c>
      <c r="F6" s="19" t="s">
        <v>442</v>
      </c>
    </row>
    <row r="7" customFormat="false" ht="23.85" hidden="false" customHeight="false" outlineLevel="0" collapsed="false">
      <c r="A7" s="21" t="n">
        <v>46293</v>
      </c>
      <c r="B7" s="19" t="s">
        <v>443</v>
      </c>
      <c r="C7" s="19" t="s">
        <v>11</v>
      </c>
      <c r="D7" s="19" t="s">
        <v>20</v>
      </c>
      <c r="E7" s="19" t="s">
        <v>444</v>
      </c>
      <c r="F7" s="19" t="s">
        <v>445</v>
      </c>
    </row>
    <row r="8" customFormat="false" ht="68.65" hidden="false" customHeight="false" outlineLevel="0" collapsed="false">
      <c r="A8" s="21" t="n">
        <v>46293</v>
      </c>
      <c r="B8" s="19" t="s">
        <v>446</v>
      </c>
      <c r="C8" s="19" t="s">
        <v>11</v>
      </c>
      <c r="D8" s="19" t="s">
        <v>29</v>
      </c>
      <c r="E8" s="19" t="s">
        <v>439</v>
      </c>
      <c r="F8" s="19" t="s">
        <v>447</v>
      </c>
    </row>
  </sheetData>
  <dataValidations count="3">
    <dataValidation allowBlank="true" errorStyle="stop" operator="between" showDropDown="false" showErrorMessage="false" showInputMessage="false" sqref="C9:C500" type="list">
      <formula1>"No iniciado,En progreso,Parcial,Terminado,Bloqueado,Descartado,Por verificar"</formula1>
      <formula2>0</formula2>
    </dataValidation>
    <dataValidation allowBlank="true" errorStyle="stop" operator="between" showDropDown="false" showErrorMessage="false" showInputMessage="false" sqref="D9:D500" type="list">
      <formula1>"No iniciado,En progreso,Parcial,Terminado,Bloqueado,Descartado,Por verificar"</formula1>
      <formula2>0</formula2>
    </dataValidation>
    <dataValidation allowBlank="true" errorStyle="stop" operator="between" showDropDown="false" showErrorMessage="false" showInputMessage="false" sqref="E9:E500" type="list">
      <formula1>"Luis,Elizabeth,Miguel,Equipo,Agente (Claude Code)"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CEE3"/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4"/>
    <col collapsed="false" customWidth="true" hidden="false" outlineLevel="0" max="3" min="3" style="0" width="80"/>
  </cols>
  <sheetData>
    <row r="1" customFormat="false" ht="17.35" hidden="false" customHeight="false" outlineLevel="0" collapsed="false">
      <c r="A1" s="1" t="s">
        <v>448</v>
      </c>
    </row>
    <row r="3" customFormat="false" ht="15" hidden="false" customHeight="false" outlineLevel="0" collapsed="false">
      <c r="A3" s="14" t="s">
        <v>2</v>
      </c>
      <c r="B3" s="24" t="s">
        <v>11</v>
      </c>
      <c r="C3" s="25" t="s">
        <v>449</v>
      </c>
    </row>
    <row r="4" customFormat="false" ht="15" hidden="false" customHeight="false" outlineLevel="0" collapsed="false">
      <c r="A4" s="14"/>
      <c r="B4" s="26" t="s">
        <v>14</v>
      </c>
      <c r="C4" s="25" t="s">
        <v>450</v>
      </c>
    </row>
    <row r="5" customFormat="false" ht="15" hidden="false" customHeight="false" outlineLevel="0" collapsed="false">
      <c r="A5" s="14"/>
      <c r="B5" s="27" t="s">
        <v>17</v>
      </c>
      <c r="C5" s="25" t="s">
        <v>451</v>
      </c>
    </row>
    <row r="6" customFormat="false" ht="15" hidden="false" customHeight="false" outlineLevel="0" collapsed="false">
      <c r="A6" s="14"/>
      <c r="B6" s="28" t="s">
        <v>20</v>
      </c>
      <c r="C6" s="25" t="s">
        <v>452</v>
      </c>
    </row>
    <row r="7" customFormat="false" ht="15" hidden="false" customHeight="false" outlineLevel="0" collapsed="false">
      <c r="A7" s="14"/>
      <c r="B7" s="29" t="s">
        <v>23</v>
      </c>
      <c r="C7" s="25" t="s">
        <v>453</v>
      </c>
    </row>
    <row r="8" customFormat="false" ht="15" hidden="false" customHeight="false" outlineLevel="0" collapsed="false">
      <c r="A8" s="14"/>
      <c r="B8" s="30" t="s">
        <v>26</v>
      </c>
      <c r="C8" s="25" t="s">
        <v>454</v>
      </c>
    </row>
    <row r="9" customFormat="false" ht="15" hidden="false" customHeight="false" outlineLevel="0" collapsed="false">
      <c r="A9" s="14"/>
      <c r="B9" s="31" t="s">
        <v>29</v>
      </c>
      <c r="C9" s="25" t="s">
        <v>455</v>
      </c>
    </row>
    <row r="10" customFormat="false" ht="15" hidden="false" customHeight="false" outlineLevel="0" collapsed="false">
      <c r="A10" s="14" t="s">
        <v>66</v>
      </c>
      <c r="B10" s="25" t="s">
        <v>83</v>
      </c>
      <c r="C10" s="25" t="s">
        <v>456</v>
      </c>
    </row>
    <row r="11" customFormat="false" ht="15" hidden="false" customHeight="false" outlineLevel="0" collapsed="false">
      <c r="A11" s="14"/>
      <c r="B11" s="25" t="s">
        <v>76</v>
      </c>
      <c r="C11" s="25" t="s">
        <v>457</v>
      </c>
    </row>
    <row r="12" customFormat="false" ht="15" hidden="false" customHeight="false" outlineLevel="0" collapsed="false">
      <c r="A12" s="14"/>
      <c r="B12" s="25" t="s">
        <v>101</v>
      </c>
      <c r="C12" s="25" t="s">
        <v>458</v>
      </c>
    </row>
    <row r="13" customFormat="false" ht="15" hidden="false" customHeight="false" outlineLevel="0" collapsed="false">
      <c r="A13" s="14"/>
      <c r="B13" s="25" t="s">
        <v>352</v>
      </c>
      <c r="C13" s="25" t="s">
        <v>459</v>
      </c>
    </row>
    <row r="14" customFormat="false" ht="15" hidden="false" customHeight="false" outlineLevel="0" collapsed="false">
      <c r="A14" s="14"/>
      <c r="B14" s="25" t="s">
        <v>273</v>
      </c>
      <c r="C14" s="25" t="s">
        <v>460</v>
      </c>
    </row>
    <row r="15" customFormat="false" ht="15" hidden="false" customHeight="false" outlineLevel="0" collapsed="false">
      <c r="A15" s="14" t="s">
        <v>63</v>
      </c>
      <c r="B15" s="25" t="s">
        <v>283</v>
      </c>
      <c r="C15" s="25" t="s">
        <v>461</v>
      </c>
    </row>
    <row r="16" customFormat="false" ht="15" hidden="false" customHeight="false" outlineLevel="0" collapsed="false">
      <c r="A16" s="14" t="s">
        <v>72</v>
      </c>
      <c r="B16" s="25" t="s">
        <v>462</v>
      </c>
      <c r="C16" s="25" t="s">
        <v>463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2026-09-28T15:26:07Z</dcterms:created>
  <dc:creator>openpyxl</dc:creator>
  <dc:description/>
  <dc:language>en-US</dc:language>
  <cp:lastModifiedBy/>
  <dcterms:modified xsi:type="dcterms:W3CDTF">2026-09-28T15:26:07Z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