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endientes" sheetId="2" state="visible" r:id="rId2"/>
    <sheet xmlns:r="http://schemas.openxmlformats.org/officeDocument/2006/relationships" name="Bitácora" sheetId="3" state="visible" r:id="rId3"/>
    <sheet xmlns:r="http://schemas.openxmlformats.org/officeDocument/2006/relationships" name="Leyenda" sheetId="4" state="visible" r:id="rId4"/>
  </sheets>
  <definedNames>
    <definedName name="_xlnm._FilterDatabase" localSheetId="1" hidden="1">'Pendientes'!$A$4:$L$117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\-mm\-yyyy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4173F"/>
      <sz val="14"/>
    </font>
    <font>
      <name val="Arial"/>
      <charset val="1"/>
      <family val="0"/>
      <i val="1"/>
      <color rgb="FF3A3F6E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3A3F6E"/>
      <sz val="11"/>
    </font>
    <font>
      <name val="Arial"/>
      <charset val="1"/>
      <family val="0"/>
      <color rgb="FF14173F"/>
      <sz val="10"/>
    </font>
    <font>
      <name val="Arial"/>
      <charset val="1"/>
      <family val="0"/>
      <b val="1"/>
      <color rgb="FF252C93"/>
      <sz val="11"/>
    </font>
    <font>
      <name val="Arial"/>
      <charset val="1"/>
      <family val="0"/>
      <b val="1"/>
      <color rgb="FF8A5300"/>
      <sz val="11"/>
    </font>
    <font>
      <name val="Arial"/>
      <charset val="1"/>
      <family val="0"/>
      <b val="1"/>
      <color rgb="FF0B6B45"/>
      <sz val="11"/>
    </font>
    <font>
      <name val="Arial"/>
      <charset val="1"/>
      <family val="0"/>
      <b val="1"/>
      <color rgb="FFB42A26"/>
      <sz val="11"/>
    </font>
    <font>
      <name val="Arial"/>
      <charset val="1"/>
      <family val="0"/>
      <b val="1"/>
      <color rgb="FF6B6B6B"/>
      <sz val="11"/>
    </font>
    <font>
      <name val="Arial"/>
      <charset val="1"/>
      <family val="0"/>
      <b val="1"/>
      <color rgb="FF14173F"/>
      <sz val="11"/>
    </font>
  </fonts>
  <fills count="10">
    <fill>
      <patternFill/>
    </fill>
    <fill>
      <patternFill patternType="gray125"/>
    </fill>
    <fill>
      <patternFill patternType="solid">
        <fgColor rgb="FF14173F"/>
        <bgColor rgb="FF000000"/>
      </patternFill>
    </fill>
    <fill>
      <patternFill patternType="solid">
        <fgColor rgb="FFF1F2F6"/>
        <bgColor rgb="FFE6E6E6"/>
      </patternFill>
    </fill>
    <fill>
      <patternFill patternType="solid">
        <fgColor rgb="FFDCE0F7"/>
        <bgColor rgb="FFE6E6E6"/>
      </patternFill>
    </fill>
    <fill>
      <patternFill patternType="solid">
        <fgColor rgb="FFFFF1BF"/>
        <bgColor rgb="FFFFE8C7"/>
      </patternFill>
    </fill>
    <fill>
      <patternFill patternType="solid">
        <fgColor rgb="FFD6EEE3"/>
        <bgColor rgb="FFE6E6E6"/>
      </patternFill>
    </fill>
    <fill>
      <patternFill patternType="solid">
        <fgColor rgb="FFF7DAD9"/>
        <bgColor rgb="FFFFE8C7"/>
      </patternFill>
    </fill>
    <fill>
      <patternFill patternType="solid">
        <fgColor rgb="FFE6E6E6"/>
        <bgColor rgb="FFDCE0F7"/>
      </patternFill>
    </fill>
    <fill>
      <patternFill patternType="solid">
        <fgColor rgb="FFFFE8C7"/>
        <bgColor rgb="FFFFF1BF"/>
      </patternFill>
    </fill>
  </fills>
  <borders count="2">
    <border>
      <left/>
      <right/>
      <top/>
      <bottom/>
      <diagonal/>
    </border>
    <border>
      <left style="thin">
        <color rgb="FFC9CEE3"/>
      </left>
      <right style="thin">
        <color rgb="FFC9CEE3"/>
      </right>
      <top style="thin">
        <color rgb="FFC9CEE3"/>
      </top>
      <bottom style="thin">
        <color rgb="FFC9CEE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 wrapText="1"/>
    </xf>
    <xf numFmtId="0" fontId="7" fillId="3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9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0" fontId="9" fillId="4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0" fontId="12" fillId="7" borderId="1" applyAlignment="1" pivotButton="0" quotePrefix="0" xfId="0">
      <alignment horizontal="general" vertical="bottom"/>
    </xf>
    <xf numFmtId="0" fontId="13" fillId="8" borderId="1" applyAlignment="1" pivotButton="0" quotePrefix="0" xfId="0">
      <alignment horizontal="general" vertical="bottom"/>
    </xf>
    <xf numFmtId="0" fontId="10" fillId="9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top"/>
    </xf>
    <xf numFmtId="164" fontId="8" fillId="0" borderId="1" applyAlignment="1" pivotButton="0" quotePrefix="0" xfId="0">
      <alignment horizontal="general" vertical="top" wrapText="1"/>
    </xf>
    <xf numFmtId="1" fontId="8" fillId="0" borderId="1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general" vertical="bottom"/>
    </xf>
    <xf numFmtId="0" fontId="10" fillId="5" borderId="0" applyAlignment="1" pivotButton="0" quotePrefix="0" xfId="0">
      <alignment horizontal="general" vertical="bottom"/>
    </xf>
    <xf numFmtId="0" fontId="11" fillId="6" borderId="0" applyAlignment="1" pivotButton="0" quotePrefix="0" xfId="0">
      <alignment horizontal="general" vertical="bottom"/>
    </xf>
    <xf numFmtId="0" fontId="12" fillId="7" borderId="0" applyAlignment="1" pivotButton="0" quotePrefix="0" xfId="0">
      <alignment horizontal="general" vertical="bottom"/>
    </xf>
    <xf numFmtId="0" fontId="13" fillId="8" borderId="0" applyAlignment="1" pivotButton="0" quotePrefix="0" xfId="0">
      <alignment horizontal="general" vertical="bottom"/>
    </xf>
    <xf numFmtId="0" fontId="10" fillId="9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 wrapText="1"/>
    </xf>
    <xf numFmtId="0" fontId="7" fillId="3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9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0" fontId="9" fillId="4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0" fontId="12" fillId="7" borderId="1" applyAlignment="1" pivotButton="0" quotePrefix="0" xfId="0">
      <alignment horizontal="general" vertical="bottom"/>
    </xf>
    <xf numFmtId="0" fontId="13" fillId="8" borderId="1" applyAlignment="1" pivotButton="0" quotePrefix="0" xfId="0">
      <alignment horizontal="general" vertical="bottom"/>
    </xf>
    <xf numFmtId="0" fontId="10" fillId="9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top"/>
    </xf>
    <xf numFmtId="164" fontId="8" fillId="0" borderId="1" applyAlignment="1" pivotButton="0" quotePrefix="0" xfId="0">
      <alignment horizontal="general" vertical="top" wrapText="1"/>
    </xf>
    <xf numFmtId="1" fontId="8" fillId="0" borderId="1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general" vertical="bottom"/>
    </xf>
    <xf numFmtId="0" fontId="10" fillId="5" borderId="0" applyAlignment="1" pivotButton="0" quotePrefix="0" xfId="0">
      <alignment horizontal="general" vertical="bottom"/>
    </xf>
    <xf numFmtId="0" fontId="11" fillId="6" borderId="0" applyAlignment="1" pivotButton="0" quotePrefix="0" xfId="0">
      <alignment horizontal="general" vertical="bottom"/>
    </xf>
    <xf numFmtId="0" fontId="12" fillId="7" borderId="0" applyAlignment="1" pivotButton="0" quotePrefix="0" xfId="0">
      <alignment horizontal="general" vertical="bottom"/>
    </xf>
    <xf numFmtId="0" fontId="13" fillId="8" borderId="0" applyAlignment="1" pivotButton="0" quotePrefix="0" xfId="0">
      <alignment horizontal="general" vertical="bottom"/>
    </xf>
    <xf numFmtId="0" fontId="10" fillId="9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2">
    <dxf>
      <font>
        <name val="Arial"/>
        <charset val="1"/>
        <family val="0"/>
        <b val="1"/>
        <color rgb="FF252C93"/>
      </font>
    </dxf>
    <dxf>
      <fill>
        <patternFill patternType="solid">
          <fgColor rgb="FF14173F"/>
          <bgColor rgb="FF000000"/>
        </patternFill>
      </fill>
    </dxf>
    <dxf>
      <fill>
        <patternFill patternType="solid">
          <fgColor rgb="FFD6EEE3"/>
          <bgColor rgb="FF000000"/>
        </patternFill>
      </fill>
    </dxf>
    <dxf>
      <fill>
        <patternFill patternType="solid">
          <fgColor rgb="FFDCE0F7"/>
          <bgColor rgb="FF000000"/>
        </patternFill>
      </fill>
    </dxf>
    <dxf>
      <fill>
        <patternFill patternType="solid">
          <fgColor rgb="FFE6E6E6"/>
          <bgColor rgb="FF000000"/>
        </patternFill>
      </fill>
    </dxf>
    <dxf>
      <fill>
        <patternFill patternType="solid">
          <fgColor rgb="FFF1F2F6"/>
          <bgColor rgb="FF000000"/>
        </patternFill>
      </fill>
    </dxf>
    <dxf>
      <fill>
        <patternFill patternType="solid">
          <fgColor rgb="FFFFE8C7"/>
          <bgColor rgb="FF000000"/>
        </patternFill>
      </fill>
    </dxf>
    <dxf>
      <fill>
        <patternFill patternType="solid">
          <fgColor rgb="FFFFF1BF"/>
          <bgColor rgb="FF000000"/>
        </patternFill>
      </fill>
    </dxf>
    <dxf>
      <fill>
        <patternFill patternType="solid">
          <fgColor rgb="FF0B6B45"/>
          <bgColor rgb="FF000000"/>
        </patternFill>
      </fill>
    </dxf>
    <dxf>
      <fill>
        <patternFill patternType="solid">
          <fgColor rgb="FF252C93"/>
          <bgColor rgb="FF000000"/>
        </patternFill>
      </fill>
    </dxf>
    <dxf>
      <fill>
        <patternFill patternType="solid">
          <fgColor rgb="FF3A3F6E"/>
          <bgColor rgb="FF000000"/>
        </patternFill>
      </fill>
    </dxf>
    <dxf>
      <fill>
        <patternFill patternType="solid">
          <fgColor rgb="FF6B6B6B"/>
          <bgColor rgb="FF000000"/>
        </patternFill>
      </fill>
    </dxf>
    <dxf>
      <fill>
        <patternFill patternType="solid">
          <fgColor rgb="FF8A53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strike val="0"/>
        <color rgb="FF3A3F6E"/>
      </font>
      <fill>
        <patternFill>
          <bgColor rgb="FFF1F2F6"/>
        </patternFill>
      </fill>
    </dxf>
    <dxf>
      <font>
        <name val="Arial"/>
        <charset val="1"/>
        <family val="0"/>
        <strike val="0"/>
        <color rgb="FF252C93"/>
      </font>
      <fill>
        <patternFill>
          <bgColor rgb="FFDCE0F7"/>
        </patternFill>
      </fill>
    </dxf>
    <dxf>
      <font>
        <name val="Arial"/>
        <charset val="1"/>
        <family val="0"/>
        <strike val="0"/>
        <color rgb="FF8A5300"/>
      </font>
      <fill>
        <patternFill>
          <bgColor rgb="FFFFF1BF"/>
        </patternFill>
      </fill>
    </dxf>
    <dxf>
      <font>
        <name val="Arial"/>
        <charset val="1"/>
        <family val="0"/>
        <strike val="0"/>
        <color rgb="FF0B6B45"/>
      </font>
      <fill>
        <patternFill>
          <bgColor rgb="FFD6EEE3"/>
        </patternFill>
      </fill>
    </dxf>
    <dxf>
      <font>
        <name val="Arial"/>
        <charset val="1"/>
        <family val="0"/>
        <strike val="0"/>
        <color rgb="FFB42A26"/>
      </font>
      <fill>
        <patternFill>
          <bgColor rgb="FFF7DAD9"/>
        </patternFill>
      </fill>
    </dxf>
    <dxf>
      <font>
        <name val="Arial"/>
        <charset val="1"/>
        <family val="0"/>
        <strike val="1"/>
        <color rgb="FF6B6B6B"/>
      </font>
      <fill>
        <patternFill>
          <bgColor rgb="FFE6E6E6"/>
        </patternFill>
      </fill>
    </dxf>
    <dxf>
      <font>
        <name val="Arial"/>
        <charset val="1"/>
        <family val="0"/>
        <strike val="0"/>
        <color rgb="FF8A5300"/>
      </font>
      <fill>
        <patternFill>
          <bgColor rgb="FFFFE8C7"/>
        </patternFill>
      </fill>
    </dxf>
    <dxf>
      <font>
        <name val="Arial"/>
        <charset val="1"/>
        <family val="0"/>
        <b val="1"/>
        <color rgb="FFB42A2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300"/>
      <rgbColor rgb="FF800080"/>
      <rgbColor rgb="FF0B6B45"/>
      <rgbColor rgb="FFDCE0F7"/>
      <rgbColor rgb="FF808080"/>
      <rgbColor rgb="FF9999FF"/>
      <rgbColor rgb="FF993366"/>
      <rgbColor rgb="FFFFF1BF"/>
      <rgbColor rgb="FFF1F2F6"/>
      <rgbColor rgb="FF660066"/>
      <rgbColor rgb="FFFF8080"/>
      <rgbColor rgb="FF0066CC"/>
      <rgbColor rgb="FFC9CE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6E6"/>
      <rgbColor rgb="FFD6EEE3"/>
      <rgbColor rgb="FFFFE8C7"/>
      <rgbColor rgb="FF99CCFF"/>
      <rgbColor rgb="FFFF99CC"/>
      <rgbColor rgb="FFCC99FF"/>
      <rgbColor rgb="FFF7DAD9"/>
      <rgbColor rgb="FF3366FF"/>
      <rgbColor rgb="FF33CCCC"/>
      <rgbColor rgb="FF99CC00"/>
      <rgbColor rgb="FFFFD84A"/>
      <rgbColor rgb="FFFF9900"/>
      <rgbColor rgb="FFFF6600"/>
      <rgbColor rgb="FF6B6B6B"/>
      <rgbColor rgb="FF969696"/>
      <rgbColor rgb="FF14173F"/>
      <rgbColor rgb="FF339966"/>
      <rgbColor rgb="FF003300"/>
      <rgbColor rgb="FF333300"/>
      <rgbColor rgb="FFB42A26"/>
      <rgbColor rgb="FF993366"/>
      <rgbColor rgb="FF252C93"/>
      <rgbColor rgb="FF3A3F6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FFD84A"/>
    <outlinePr summaryBelow="1" summaryRight="1"/>
    <pageSetUpPr fitToPage="0"/>
  </sheetPr>
  <dimension ref="A1:J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32" min="1" max="1"/>
    <col width="11" customWidth="1" style="32" min="2" max="3"/>
    <col width="3" customWidth="1" style="32" min="4" max="4"/>
    <col width="7" customWidth="1" style="32" min="5" max="5"/>
    <col width="34" customWidth="1" style="32" min="6" max="6"/>
    <col width="10" customWidth="1" style="32" min="7" max="7"/>
    <col width="11" customWidth="1" style="32" min="8" max="8"/>
    <col width="12" customWidth="1" style="32" min="9" max="9"/>
    <col width="8" customWidth="1" style="32" min="10" max="10"/>
  </cols>
  <sheetData>
    <row r="1" ht="17.35" customHeight="1" s="33">
      <c r="A1" s="34" t="inlineStr">
        <is>
          <t>Resumen de pendientes</t>
        </is>
      </c>
    </row>
    <row r="2" ht="15" customHeight="1" s="33">
      <c r="A2" s="35" t="inlineStr">
        <is>
          <t>Se actualiza solo a partir de la hoja Pendientes.</t>
        </is>
      </c>
    </row>
    <row r="4" ht="15" customHeight="1" s="33">
      <c r="A4" s="36" t="inlineStr">
        <is>
          <t>Estado</t>
        </is>
      </c>
      <c r="B4" s="36" t="inlineStr">
        <is>
          <t>Cantidad</t>
        </is>
      </c>
      <c r="C4" s="36" t="inlineStr">
        <is>
          <t>% del total</t>
        </is>
      </c>
      <c r="E4" s="36" t="inlineStr">
        <is>
          <t>Plan</t>
        </is>
      </c>
      <c r="F4" s="36" t="inlineStr">
        <is>
          <t>Tema</t>
        </is>
      </c>
      <c r="G4" s="36" t="inlineStr">
        <is>
          <t>Abiertos</t>
        </is>
      </c>
      <c r="H4" s="36" t="inlineStr">
        <is>
          <t>Terminados</t>
        </is>
      </c>
      <c r="I4" s="36" t="inlineStr">
        <is>
          <t>Descartados</t>
        </is>
      </c>
      <c r="J4" s="36" t="inlineStr">
        <is>
          <t>Total</t>
        </is>
      </c>
    </row>
    <row r="5" ht="15" customHeight="1" s="33">
      <c r="A5" s="37" t="inlineStr">
        <is>
          <t>No iniciado</t>
        </is>
      </c>
      <c r="B5" s="38">
        <f>COUNTIF(Pendientes!$F$5:$F$308,A5)</f>
        <v/>
      </c>
      <c r="C5" s="39">
        <f>IF($B$12=0,0,B5/$B$12)</f>
        <v/>
      </c>
      <c r="E5" s="40" t="inlineStr">
        <is>
          <t>02</t>
        </is>
      </c>
      <c r="F5" s="38" t="inlineStr">
        <is>
          <t>Roles y permisos del tendero</t>
        </is>
      </c>
      <c r="G5" s="38">
        <f>COUNTIFS(Pendientes!$B$5:$B$308,E5,Pendientes!$F$5:$F$308,"&lt;&gt;Terminado",Pendientes!$F$5:$F$308,"&lt;&gt;Descartado")-COUNTIFS(Pendientes!$B$5:$B$308,E5,Pendientes!$F$5:$F$308,"")</f>
        <v/>
      </c>
      <c r="H5" s="38">
        <f>COUNTIFS(Pendientes!$B$5:$B$308,E5,Pendientes!$F$5:$F$308,"Terminado")</f>
        <v/>
      </c>
      <c r="I5" s="38">
        <f>COUNTIFS(Pendientes!$B$5:$B$308,E5,Pendientes!$F$5:$F$308,"Descartado")</f>
        <v/>
      </c>
      <c r="J5" s="38">
        <f>COUNTIF(Pendientes!$B$5:$B$308,E5)</f>
        <v/>
      </c>
    </row>
    <row r="6" ht="15" customHeight="1" s="33">
      <c r="A6" s="41" t="inlineStr">
        <is>
          <t>En progreso</t>
        </is>
      </c>
      <c r="B6" s="38">
        <f>COUNTIF(Pendientes!$F$5:$F$308,A6)</f>
        <v/>
      </c>
      <c r="C6" s="39">
        <f>IF($B$12=0,0,B6/$B$12)</f>
        <v/>
      </c>
      <c r="E6" s="40" t="inlineStr">
        <is>
          <t>04</t>
        </is>
      </c>
      <c r="F6" s="38" t="inlineStr">
        <is>
          <t>Posventa y facturación</t>
        </is>
      </c>
      <c r="G6" s="38">
        <f>COUNTIFS(Pendientes!$B$5:$B$308,E6,Pendientes!$F$5:$F$308,"&lt;&gt;Terminado",Pendientes!$F$5:$F$308,"&lt;&gt;Descartado")-COUNTIFS(Pendientes!$B$5:$B$308,E6,Pendientes!$F$5:$F$308,"")</f>
        <v/>
      </c>
      <c r="H6" s="38">
        <f>COUNTIFS(Pendientes!$B$5:$B$308,E6,Pendientes!$F$5:$F$308,"Terminado")</f>
        <v/>
      </c>
      <c r="I6" s="38">
        <f>COUNTIFS(Pendientes!$B$5:$B$308,E6,Pendientes!$F$5:$F$308,"Descartado")</f>
        <v/>
      </c>
      <c r="J6" s="38">
        <f>COUNTIF(Pendientes!$B$5:$B$308,E6)</f>
        <v/>
      </c>
    </row>
    <row r="7" ht="15" customHeight="1" s="33">
      <c r="A7" s="42" t="inlineStr">
        <is>
          <t>Parcial</t>
        </is>
      </c>
      <c r="B7" s="38">
        <f>COUNTIF(Pendientes!$F$5:$F$308,A7)</f>
        <v/>
      </c>
      <c r="C7" s="39">
        <f>IF($B$12=0,0,B7/$B$12)</f>
        <v/>
      </c>
      <c r="E7" s="40" t="inlineStr">
        <is>
          <t>05</t>
        </is>
      </c>
      <c r="F7" s="38" t="inlineStr">
        <is>
          <t>Egresos de caja chica y Redis</t>
        </is>
      </c>
      <c r="G7" s="38">
        <f>COUNTIFS(Pendientes!$B$5:$B$308,E7,Pendientes!$F$5:$F$308,"&lt;&gt;Terminado",Pendientes!$F$5:$F$308,"&lt;&gt;Descartado")-COUNTIFS(Pendientes!$B$5:$B$308,E7,Pendientes!$F$5:$F$308,"")</f>
        <v/>
      </c>
      <c r="H7" s="38">
        <f>COUNTIFS(Pendientes!$B$5:$B$308,E7,Pendientes!$F$5:$F$308,"Terminado")</f>
        <v/>
      </c>
      <c r="I7" s="38">
        <f>COUNTIFS(Pendientes!$B$5:$B$308,E7,Pendientes!$F$5:$F$308,"Descartado")</f>
        <v/>
      </c>
      <c r="J7" s="38">
        <f>COUNTIF(Pendientes!$B$5:$B$308,E7)</f>
        <v/>
      </c>
    </row>
    <row r="8" ht="15" customHeight="1" s="33">
      <c r="A8" s="43" t="inlineStr">
        <is>
          <t>Terminado</t>
        </is>
      </c>
      <c r="B8" s="38">
        <f>COUNTIF(Pendientes!$F$5:$F$308,A8)</f>
        <v/>
      </c>
      <c r="C8" s="39">
        <f>IF($B$12=0,0,B8/$B$12)</f>
        <v/>
      </c>
      <c r="E8" s="40" t="inlineStr">
        <is>
          <t>06</t>
        </is>
      </c>
      <c r="F8" s="38" t="inlineStr">
        <is>
          <t>Notificaciones avanzadas</t>
        </is>
      </c>
      <c r="G8" s="38">
        <f>COUNTIFS(Pendientes!$B$5:$B$308,E8,Pendientes!$F$5:$F$308,"&lt;&gt;Terminado",Pendientes!$F$5:$F$308,"&lt;&gt;Descartado")-COUNTIFS(Pendientes!$B$5:$B$308,E8,Pendientes!$F$5:$F$308,"")</f>
        <v/>
      </c>
      <c r="H8" s="38">
        <f>COUNTIFS(Pendientes!$B$5:$B$308,E8,Pendientes!$F$5:$F$308,"Terminado")</f>
        <v/>
      </c>
      <c r="I8" s="38">
        <f>COUNTIFS(Pendientes!$B$5:$B$308,E8,Pendientes!$F$5:$F$308,"Descartado")</f>
        <v/>
      </c>
      <c r="J8" s="38">
        <f>COUNTIF(Pendientes!$B$5:$B$308,E8)</f>
        <v/>
      </c>
    </row>
    <row r="9" ht="15" customHeight="1" s="33">
      <c r="A9" s="44" t="inlineStr">
        <is>
          <t>Bloqueado</t>
        </is>
      </c>
      <c r="B9" s="38">
        <f>COUNTIF(Pendientes!$F$5:$F$308,A9)</f>
        <v/>
      </c>
      <c r="C9" s="39">
        <f>IF($B$12=0,0,B9/$B$12)</f>
        <v/>
      </c>
      <c r="E9" s="40" t="inlineStr">
        <is>
          <t>07</t>
        </is>
      </c>
      <c r="F9" s="38" t="inlineStr">
        <is>
          <t>App compañera Flutter</t>
        </is>
      </c>
      <c r="G9" s="38">
        <f>COUNTIFS(Pendientes!$B$5:$B$308,E9,Pendientes!$F$5:$F$308,"&lt;&gt;Terminado",Pendientes!$F$5:$F$308,"&lt;&gt;Descartado")-COUNTIFS(Pendientes!$B$5:$B$308,E9,Pendientes!$F$5:$F$308,"")</f>
        <v/>
      </c>
      <c r="H9" s="38">
        <f>COUNTIFS(Pendientes!$B$5:$B$308,E9,Pendientes!$F$5:$F$308,"Terminado")</f>
        <v/>
      </c>
      <c r="I9" s="38">
        <f>COUNTIFS(Pendientes!$B$5:$B$308,E9,Pendientes!$F$5:$F$308,"Descartado")</f>
        <v/>
      </c>
      <c r="J9" s="38">
        <f>COUNTIF(Pendientes!$B$5:$B$308,E9)</f>
        <v/>
      </c>
    </row>
    <row r="10" ht="15" customHeight="1" s="33">
      <c r="A10" s="45" t="inlineStr">
        <is>
          <t>Descartado</t>
        </is>
      </c>
      <c r="B10" s="38">
        <f>COUNTIF(Pendientes!$F$5:$F$308,A10)</f>
        <v/>
      </c>
      <c r="C10" s="39">
        <f>IF($B$12=0,0,B10/$B$12)</f>
        <v/>
      </c>
      <c r="E10" s="40" t="inlineStr">
        <is>
          <t>08</t>
        </is>
      </c>
      <c r="F10" s="38" t="inlineStr">
        <is>
          <t>Funcionalidades faltantes</t>
        </is>
      </c>
      <c r="G10" s="38">
        <f>COUNTIFS(Pendientes!$B$5:$B$308,E10,Pendientes!$F$5:$F$308,"&lt;&gt;Terminado",Pendientes!$F$5:$F$308,"&lt;&gt;Descartado")-COUNTIFS(Pendientes!$B$5:$B$308,E10,Pendientes!$F$5:$F$308,"")</f>
        <v/>
      </c>
      <c r="H10" s="38">
        <f>COUNTIFS(Pendientes!$B$5:$B$308,E10,Pendientes!$F$5:$F$308,"Terminado")</f>
        <v/>
      </c>
      <c r="I10" s="38">
        <f>COUNTIFS(Pendientes!$B$5:$B$308,E10,Pendientes!$F$5:$F$308,"Descartado")</f>
        <v/>
      </c>
      <c r="J10" s="38">
        <f>COUNTIF(Pendientes!$B$5:$B$308,E10)</f>
        <v/>
      </c>
    </row>
    <row r="11" ht="15" customHeight="1" s="33">
      <c r="A11" s="46" t="inlineStr">
        <is>
          <t>Por verificar</t>
        </is>
      </c>
      <c r="B11" s="38">
        <f>COUNTIF(Pendientes!$F$5:$F$308,A11)</f>
        <v/>
      </c>
      <c r="C11" s="39">
        <f>IF($B$12=0,0,B11/$B$12)</f>
        <v/>
      </c>
      <c r="E11" s="40" t="inlineStr">
        <is>
          <t>09</t>
        </is>
      </c>
      <c r="F11" s="38" t="inlineStr">
        <is>
          <t>Rediseño: paleta y tokens</t>
        </is>
      </c>
      <c r="G11" s="38">
        <f>COUNTIFS(Pendientes!$B$5:$B$308,E11,Pendientes!$F$5:$F$308,"&lt;&gt;Terminado",Pendientes!$F$5:$F$308,"&lt;&gt;Descartado")-COUNTIFS(Pendientes!$B$5:$B$308,E11,Pendientes!$F$5:$F$308,"")</f>
        <v/>
      </c>
      <c r="H11" s="38">
        <f>COUNTIFS(Pendientes!$B$5:$B$308,E11,Pendientes!$F$5:$F$308,"Terminado")</f>
        <v/>
      </c>
      <c r="I11" s="38">
        <f>COUNTIFS(Pendientes!$B$5:$B$308,E11,Pendientes!$F$5:$F$308,"Descartado")</f>
        <v/>
      </c>
      <c r="J11" s="38">
        <f>COUNTIF(Pendientes!$B$5:$B$308,E11)</f>
        <v/>
      </c>
    </row>
    <row r="12" ht="15" customHeight="1" s="33">
      <c r="A12" s="47" t="inlineStr">
        <is>
          <t>Total</t>
        </is>
      </c>
      <c r="B12" s="47">
        <f>SUM(B5:B11)</f>
        <v/>
      </c>
      <c r="E12" s="40" t="inlineStr">
        <is>
          <t>10</t>
        </is>
      </c>
      <c r="F12" s="38" t="inlineStr">
        <is>
          <t>Lint y calidad de código</t>
        </is>
      </c>
      <c r="G12" s="38">
        <f>COUNTIFS(Pendientes!$B$5:$B$308,E12,Pendientes!$F$5:$F$308,"&lt;&gt;Terminado",Pendientes!$F$5:$F$308,"&lt;&gt;Descartado")-COUNTIFS(Pendientes!$B$5:$B$308,E12,Pendientes!$F$5:$F$308,"")</f>
        <v/>
      </c>
      <c r="H12" s="38">
        <f>COUNTIFS(Pendientes!$B$5:$B$308,E12,Pendientes!$F$5:$F$308,"Terminado")</f>
        <v/>
      </c>
      <c r="I12" s="38">
        <f>COUNTIFS(Pendientes!$B$5:$B$308,E12,Pendientes!$F$5:$F$308,"Descartado")</f>
        <v/>
      </c>
      <c r="J12" s="38">
        <f>COUNTIF(Pendientes!$B$5:$B$308,E12)</f>
        <v/>
      </c>
    </row>
    <row r="13" ht="15" customHeight="1" s="33">
      <c r="A13" s="48" t="inlineStr">
        <is>
          <t>Abiertos (sin terminar ni descartar)</t>
        </is>
      </c>
      <c r="B13" s="48">
        <f>B12-B8-B10</f>
        <v/>
      </c>
      <c r="E13" s="40" t="inlineStr">
        <is>
          <t>11</t>
        </is>
      </c>
      <c r="F13" s="38" t="inlineStr">
        <is>
          <t>Consejero IA "+0u"</t>
        </is>
      </c>
      <c r="G13" s="38">
        <f>COUNTIFS(Pendientes!$B$5:$B$308,E13,Pendientes!$F$5:$F$308,"&lt;&gt;Terminado",Pendientes!$F$5:$F$308,"&lt;&gt;Descartado")-COUNTIFS(Pendientes!$B$5:$B$308,E13,Pendientes!$F$5:$F$308,"")</f>
        <v/>
      </c>
      <c r="H13" s="38">
        <f>COUNTIFS(Pendientes!$B$5:$B$308,E13,Pendientes!$F$5:$F$308,"Terminado")</f>
        <v/>
      </c>
      <c r="I13" s="38">
        <f>COUNTIFS(Pendientes!$B$5:$B$308,E13,Pendientes!$F$5:$F$308,"Descartado")</f>
        <v/>
      </c>
      <c r="J13" s="38">
        <f>COUNTIF(Pendientes!$B$5:$B$308,E13)</f>
        <v/>
      </c>
    </row>
    <row r="14" ht="15" customHeight="1" s="33">
      <c r="A14" s="49" t="inlineStr">
        <is>
          <t>Abiertos de prioridad Alta</t>
        </is>
      </c>
      <c r="B14" s="49">
        <f>COUNTIFS(Pendientes!$G$5:$G$308,"Alta",Pendientes!$F$5:$F$308,"&lt;&gt;Terminado",Pendientes!$F$5:$F$308,"&lt;&gt;Descartado")</f>
        <v/>
      </c>
      <c r="E14" s="40" t="inlineStr">
        <is>
          <t>12</t>
        </is>
      </c>
      <c r="F14" s="38" t="inlineStr">
        <is>
          <t>Rediseño: tipografía y forma</t>
        </is>
      </c>
      <c r="G14" s="38">
        <f>COUNTIFS(Pendientes!$B$5:$B$308,E14,Pendientes!$F$5:$F$308,"&lt;&gt;Terminado",Pendientes!$F$5:$F$308,"&lt;&gt;Descartado")-COUNTIFS(Pendientes!$B$5:$B$308,E14,Pendientes!$F$5:$F$308,"")</f>
        <v/>
      </c>
      <c r="H14" s="38">
        <f>COUNTIFS(Pendientes!$B$5:$B$308,E14,Pendientes!$F$5:$F$308,"Terminado")</f>
        <v/>
      </c>
      <c r="I14" s="38">
        <f>COUNTIFS(Pendientes!$B$5:$B$308,E14,Pendientes!$F$5:$F$308,"Descartado")</f>
        <v/>
      </c>
      <c r="J14" s="38">
        <f>COUNTIF(Pendientes!$B$5:$B$308,E14)</f>
        <v/>
      </c>
    </row>
    <row r="15" ht="15" customHeight="1" s="33">
      <c r="E15" s="40" t="inlineStr">
        <is>
          <t>13</t>
        </is>
      </c>
      <c r="F15" s="38" t="inlineStr">
        <is>
          <t>Consejero IA → borrador de orden</t>
        </is>
      </c>
      <c r="G15" s="38">
        <f>COUNTIFS(Pendientes!$B$5:$B$308,E15,Pendientes!$F$5:$F$308,"&lt;&gt;Terminado",Pendientes!$F$5:$F$308,"&lt;&gt;Descartado")-COUNTIFS(Pendientes!$B$5:$B$308,E15,Pendientes!$F$5:$F$308,"")</f>
        <v/>
      </c>
      <c r="H15" s="38">
        <f>COUNTIFS(Pendientes!$B$5:$B$308,E15,Pendientes!$F$5:$F$308,"Terminado")</f>
        <v/>
      </c>
      <c r="I15" s="38">
        <f>COUNTIFS(Pendientes!$B$5:$B$308,E15,Pendientes!$F$5:$F$308,"Descartado")</f>
        <v/>
      </c>
      <c r="J15" s="38">
        <f>COUNTIF(Pendientes!$B$5:$B$308,E15)</f>
        <v/>
      </c>
    </row>
    <row r="16" ht="15" customHeight="1" s="33">
      <c r="A16" s="35" t="inlineStr">
        <is>
          <t>Planes 01 y 03: implementados y verificados, sin pendientes.</t>
        </is>
      </c>
      <c r="E16" s="40" t="inlineStr">
        <is>
          <t>14</t>
        </is>
      </c>
      <c r="F16" s="38" t="inlineStr">
        <is>
          <t>Rediseño: verificación</t>
        </is>
      </c>
      <c r="G16" s="38">
        <f>COUNTIFS(Pendientes!$B$5:$B$308,E16,Pendientes!$F$5:$F$308,"&lt;&gt;Terminado",Pendientes!$F$5:$F$308,"&lt;&gt;Descartado")-COUNTIFS(Pendientes!$B$5:$B$308,E16,Pendientes!$F$5:$F$308,"")</f>
        <v/>
      </c>
      <c r="H16" s="38">
        <f>COUNTIFS(Pendientes!$B$5:$B$308,E16,Pendientes!$F$5:$F$308,"Terminado")</f>
        <v/>
      </c>
      <c r="I16" s="38">
        <f>COUNTIFS(Pendientes!$B$5:$B$308,E16,Pendientes!$F$5:$F$308,"Descartado")</f>
        <v/>
      </c>
      <c r="J16" s="38">
        <f>COUNTIF(Pendientes!$B$5:$B$308,E16)</f>
        <v/>
      </c>
    </row>
    <row r="17" ht="15" customHeight="1" s="33">
      <c r="E17" s="40" t="inlineStr">
        <is>
          <t>15</t>
        </is>
      </c>
      <c r="F17" s="38" t="inlineStr">
        <is>
          <t>Migración de Fiados en producción</t>
        </is>
      </c>
      <c r="G17" s="38">
        <f>COUNTIFS(Pendientes!$B$5:$B$308,E17,Pendientes!$F$5:$F$308,"&lt;&gt;Terminado",Pendientes!$F$5:$F$308,"&lt;&gt;Descartado")-COUNTIFS(Pendientes!$B$5:$B$308,E17,Pendientes!$F$5:$F$308,"")</f>
        <v/>
      </c>
      <c r="H17" s="38">
        <f>COUNTIFS(Pendientes!$B$5:$B$308,E17,Pendientes!$F$5:$F$308,"Terminado")</f>
        <v/>
      </c>
      <c r="I17" s="38">
        <f>COUNTIFS(Pendientes!$B$5:$B$308,E17,Pendientes!$F$5:$F$308,"Descartado")</f>
        <v/>
      </c>
      <c r="J17" s="38">
        <f>COUNTIF(Pendientes!$B$5:$B$308,E17)</f>
        <v/>
      </c>
    </row>
    <row r="18" ht="15" customHeight="1" s="33">
      <c r="E18" s="40" t="inlineStr">
        <is>
          <t>16</t>
        </is>
      </c>
      <c r="F18" s="38" t="inlineStr">
        <is>
          <t>Recepción de mercancía</t>
        </is>
      </c>
      <c r="G18" s="38">
        <f>COUNTIFS(Pendientes!$B$5:$B$308,E18,Pendientes!$F$5:$F$308,"&lt;&gt;Terminado",Pendientes!$F$5:$F$308,"&lt;&gt;Descartado")-COUNTIFS(Pendientes!$B$5:$B$308,E18,Pendientes!$F$5:$F$308,"")</f>
        <v/>
      </c>
      <c r="H18" s="38">
        <f>COUNTIFS(Pendientes!$B$5:$B$308,E18,Pendientes!$F$5:$F$308,"Terminado")</f>
        <v/>
      </c>
      <c r="I18" s="38">
        <f>COUNTIFS(Pendientes!$B$5:$B$308,E18,Pendientes!$F$5:$F$308,"Descartado")</f>
        <v/>
      </c>
      <c r="J18" s="38">
        <f>COUNTIF(Pendientes!$B$5:$B$308,E18)</f>
        <v/>
      </c>
    </row>
    <row r="19" ht="15" customHeight="1" s="33">
      <c r="E19" s="40" t="inlineStr">
        <is>
          <t>17</t>
        </is>
      </c>
      <c r="F19" s="38" t="inlineStr">
        <is>
          <t>Motor de riesgo unificado</t>
        </is>
      </c>
      <c r="G19" s="38">
        <f>COUNTIFS(Pendientes!$B$5:$B$308,E19,Pendientes!$F$5:$F$308,"&lt;&gt;Terminado",Pendientes!$F$5:$F$308,"&lt;&gt;Descartado")-COUNTIFS(Pendientes!$B$5:$B$308,E19,Pendientes!$F$5:$F$308,"")</f>
        <v/>
      </c>
      <c r="H19" s="38">
        <f>COUNTIFS(Pendientes!$B$5:$B$308,E19,Pendientes!$F$5:$F$308,"Terminado")</f>
        <v/>
      </c>
      <c r="I19" s="38">
        <f>COUNTIFS(Pendientes!$B$5:$B$308,E19,Pendientes!$F$5:$F$308,"Descartado")</f>
        <v/>
      </c>
      <c r="J19" s="38">
        <f>COUNTIF(Pendientes!$B$5:$B$308,E19)</f>
        <v/>
      </c>
    </row>
    <row r="20" ht="15" customHeight="1" s="33">
      <c r="E20" s="40" t="inlineStr">
        <is>
          <t>18</t>
        </is>
      </c>
      <c r="F20" s="38" t="inlineStr">
        <is>
          <t>Simulador con motor único</t>
        </is>
      </c>
      <c r="G20" s="38">
        <f>COUNTIFS(Pendientes!$B$5:$B$308,E20,Pendientes!$F$5:$F$308,"&lt;&gt;Terminado",Pendientes!$F$5:$F$308,"&lt;&gt;Descartado")-COUNTIFS(Pendientes!$B$5:$B$308,E20,Pendientes!$F$5:$F$308,"")</f>
        <v/>
      </c>
      <c r="H20" s="38">
        <f>COUNTIFS(Pendientes!$B$5:$B$308,E20,Pendientes!$F$5:$F$308,"Terminado")</f>
        <v/>
      </c>
      <c r="I20" s="38">
        <f>COUNTIFS(Pendientes!$B$5:$B$308,E20,Pendientes!$F$5:$F$308,"Descartado")</f>
        <v/>
      </c>
      <c r="J20" s="38">
        <f>COUNTIF(Pendientes!$B$5:$B$308,E20)</f>
        <v/>
      </c>
    </row>
    <row r="21" ht="15" customHeight="1" s="33">
      <c r="E21" s="40" t="inlineStr">
        <is>
          <t>19</t>
        </is>
      </c>
      <c r="F21" s="38" t="inlineStr">
        <is>
          <t>Requisitos de la intervención</t>
        </is>
      </c>
      <c r="G21" s="38">
        <f>COUNTIFS(Pendientes!$B$5:$B$308,E21,Pendientes!$F$5:$F$308,"&lt;&gt;Terminado",Pendientes!$F$5:$F$308,"&lt;&gt;Descartado")-COUNTIFS(Pendientes!$B$5:$B$308,E21,Pendientes!$F$5:$F$308,"")</f>
        <v/>
      </c>
      <c r="H21" s="38">
        <f>COUNTIFS(Pendientes!$B$5:$B$308,E21,Pendientes!$F$5:$F$308,"Terminado")</f>
        <v/>
      </c>
      <c r="I21" s="38">
        <f>COUNTIFS(Pendientes!$B$5:$B$308,E21,Pendientes!$F$5:$F$308,"Descartado")</f>
        <v/>
      </c>
      <c r="J21" s="38">
        <f>COUNTIF(Pendientes!$B$5:$B$308,E21)</f>
        <v/>
      </c>
    </row>
    <row r="22" ht="15" customHeight="1" s="33">
      <c r="E22" s="40" t="inlineStr">
        <is>
          <t>20</t>
        </is>
      </c>
      <c r="F22" s="38" t="inlineStr">
        <is>
          <t>Cobertura real del backend</t>
        </is>
      </c>
      <c r="G22" s="38">
        <f>COUNTIFS(Pendientes!$B$5:$B$308,E22,Pendientes!$F$5:$F$308,"&lt;&gt;Terminado",Pendientes!$F$5:$F$308,"&lt;&gt;Descartado")-COUNTIFS(Pendientes!$B$5:$B$308,E22,Pendientes!$F$5:$F$308,"")</f>
        <v/>
      </c>
      <c r="H22" s="38">
        <f>COUNTIFS(Pendientes!$B$5:$B$308,E22,Pendientes!$F$5:$F$308,"Terminado")</f>
        <v/>
      </c>
      <c r="I22" s="38">
        <f>COUNTIFS(Pendientes!$B$5:$B$308,E22,Pendientes!$F$5:$F$308,"Descartado")</f>
        <v/>
      </c>
      <c r="J22" s="38">
        <f>COUNTIF(Pendientes!$B$5:$B$308,E22)</f>
        <v/>
      </c>
    </row>
    <row r="23" ht="15" customHeight="1" s="33">
      <c r="E23" s="40" t="inlineStr">
        <is>
          <t>21</t>
        </is>
      </c>
      <c r="F23" s="38" t="inlineStr">
        <is>
          <t>Refactorización y tiempo real</t>
        </is>
      </c>
      <c r="G23" s="38">
        <f>COUNTIFS(Pendientes!$B$5:$B$308,E23,Pendientes!$F$5:$F$308,"&lt;&gt;Terminado",Pendientes!$F$5:$F$308,"&lt;&gt;Descartado")-COUNTIFS(Pendientes!$B$5:$B$308,E23,Pendientes!$F$5:$F$308,"")</f>
        <v/>
      </c>
      <c r="H23" s="38">
        <f>COUNTIFS(Pendientes!$B$5:$B$308,E23,Pendientes!$F$5:$F$308,"Terminado")</f>
        <v/>
      </c>
      <c r="I23" s="38">
        <f>COUNTIFS(Pendientes!$B$5:$B$308,E23,Pendientes!$F$5:$F$308,"Descartado")</f>
        <v/>
      </c>
      <c r="J23" s="38">
        <f>COUNTIF(Pendientes!$B$5:$B$308,E23)</f>
        <v/>
      </c>
    </row>
    <row r="24" ht="15" customHeight="1" s="33">
      <c r="E24" s="40" t="inlineStr">
        <is>
          <t>22</t>
        </is>
      </c>
      <c r="F24" s="38" t="inlineStr">
        <is>
          <t>Panel interno y funciones por tienda</t>
        </is>
      </c>
      <c r="G24" s="38">
        <f>COUNTIFS(Pendientes!$B$5:$B$308,E24,Pendientes!$F$5:$F$308,"&lt;&gt;Terminado",Pendientes!$F$5:$F$308,"&lt;&gt;Descartado")-COUNTIFS(Pendientes!$B$5:$B$308,E24,Pendientes!$F$5:$F$308,"")</f>
        <v/>
      </c>
      <c r="H24" s="38">
        <f>COUNTIFS(Pendientes!$B$5:$B$308,E24,Pendientes!$F$5:$F$308,"Terminado")</f>
        <v/>
      </c>
      <c r="I24" s="38">
        <f>COUNTIFS(Pendientes!$B$5:$B$308,E24,Pendientes!$F$5:$F$308,"Descartado")</f>
        <v/>
      </c>
      <c r="J24" s="38">
        <f>COUNTIF(Pendientes!$B$5:$B$308,E24)</f>
        <v/>
      </c>
    </row>
    <row r="25" ht="15" customHeight="1" s="33">
      <c r="E25" s="40" t="inlineStr">
        <is>
          <t>23</t>
        </is>
      </c>
      <c r="F25" s="38" t="inlineStr">
        <is>
          <t>IA con valor, medida y con privacidad</t>
        </is>
      </c>
      <c r="G25" s="38">
        <f>COUNTIFS(Pendientes!$B$5:$B$308,E25,Pendientes!$F$5:$F$308,"&lt;&gt;Terminado",Pendientes!$F$5:$F$308,"&lt;&gt;Descartado")-COUNTIFS(Pendientes!$B$5:$B$308,E25,Pendientes!$F$5:$F$308,"")</f>
        <v/>
      </c>
      <c r="H25" s="38">
        <f>COUNTIFS(Pendientes!$B$5:$B$308,E25,Pendientes!$F$5:$F$308,"Terminado")</f>
        <v/>
      </c>
      <c r="I25" s="38">
        <f>COUNTIFS(Pendientes!$B$5:$B$308,E25,Pendientes!$F$5:$F$308,"Descartado")</f>
        <v/>
      </c>
      <c r="J25" s="38">
        <f>COUNTIF(Pendientes!$B$5:$B$308,E25)</f>
        <v/>
      </c>
    </row>
  </sheetData>
  <conditionalFormatting sqref="G5:G24">
    <cfRule type="expression" rank="0" priority="2" equalAverage="0" aboveAverage="0" dxfId="0" text="" percent="0" bottom="0">
      <formula>G5&gt;0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52C93"/>
    <outlinePr summaryBelow="1" summaryRight="1"/>
    <pageSetUpPr fitToPage="0"/>
  </sheetPr>
  <dimension ref="A1:L123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32" min="1" max="1"/>
    <col width="6" customWidth="1" style="32" min="2" max="2"/>
    <col width="15" customWidth="1" style="32" min="3" max="3"/>
    <col width="60" customWidth="1" style="32" min="4" max="4"/>
    <col width="20" customWidth="1" style="32" min="5" max="5"/>
    <col width="14" customWidth="1" style="32" min="6" max="6"/>
    <col width="10" customWidth="1" style="32" min="7" max="7"/>
    <col width="55" customWidth="1" style="32" min="8" max="8"/>
    <col width="45" customWidth="1" style="32" min="9" max="9"/>
    <col width="18" customWidth="1" style="32" min="10" max="10"/>
    <col width="14" customWidth="1" style="32" min="11" max="11"/>
    <col width="12" customWidth="1" style="32" min="12" max="12"/>
  </cols>
  <sheetData>
    <row r="1" ht="17.35" customHeight="1" s="33">
      <c r="A1" s="34" t="inlineStr">
        <is>
          <t>StockPilot · Seguimiento de pendientes de los planes 02 a 22</t>
        </is>
      </c>
    </row>
    <row r="2" ht="15" customHeight="1" s="33">
      <c r="A2" s="35" t="inlineStr">
        <is>
          <t>Revisado contra el código de main el 27-09-2026. Cambie el Estado con la lista desplegable y anote la fecha, quién y qué en la Bitácora. Los planes 01 y 03 no tienen pendientes.</t>
        </is>
      </c>
    </row>
    <row r="4" ht="30" customHeight="1" s="33">
      <c r="A4" s="50" t="inlineStr">
        <is>
          <t>ID</t>
        </is>
      </c>
      <c r="B4" s="50" t="inlineStr">
        <is>
          <t>Plan</t>
        </is>
      </c>
      <c r="C4" s="50" t="inlineStr">
        <is>
          <t>Área</t>
        </is>
      </c>
      <c r="D4" s="50" t="inlineStr">
        <is>
          <t>Pendiente</t>
        </is>
      </c>
      <c r="E4" s="50" t="inlineStr">
        <is>
          <t>Tipo</t>
        </is>
      </c>
      <c r="F4" s="50" t="inlineStr">
        <is>
          <t>Estado</t>
        </is>
      </c>
      <c r="G4" s="50" t="inlineStr">
        <is>
          <t>Prioridad</t>
        </is>
      </c>
      <c r="H4" s="50" t="inlineStr">
        <is>
          <t>Evidencia / dónde está</t>
        </is>
      </c>
      <c r="I4" s="50" t="inlineStr">
        <is>
          <t>Notas</t>
        </is>
      </c>
      <c r="J4" s="50" t="inlineStr">
        <is>
          <t>Responsable</t>
        </is>
      </c>
      <c r="K4" s="50" t="inlineStr">
        <is>
          <t>Última actualización</t>
        </is>
      </c>
      <c r="L4" s="50" t="inlineStr">
        <is>
          <t>Días sin actualizar</t>
        </is>
      </c>
    </row>
    <row r="5" ht="35.05" customHeight="1" s="33">
      <c r="A5" s="51" t="inlineStr">
        <is>
          <t>P02-01</t>
        </is>
      </c>
      <c r="B5" s="52" t="inlineStr">
        <is>
          <t>02</t>
        </is>
      </c>
      <c r="C5" s="51" t="inlineStr">
        <is>
          <t>Seguridad</t>
        </is>
      </c>
      <c r="D5" s="51" t="inlineStr">
        <is>
          <t>Un Tendero puede cambiar los datos de su tienda (incluido su propio límite de egresos) y desactivarla: PUT /api/tienda/update/:id y /api/tienda/estado/:id solo piden requireLogin</t>
        </is>
      </c>
      <c r="E5" s="51" t="inlineStr">
        <is>
          <t>Observación / defecto</t>
        </is>
      </c>
      <c r="F5" s="51" t="inlineStr">
        <is>
          <t>No iniciado</t>
        </is>
      </c>
      <c r="G5" s="51" t="inlineStr">
        <is>
          <t>Alta</t>
        </is>
      </c>
      <c r="H5" s="51" t="inlineStr">
        <is>
          <t>routes/storeRoutes.js; storeController verifica que la tienda sea la del usuario, pero no su rol. Verificado leyendo el código (28-sep).</t>
        </is>
      </c>
      <c r="I5" s="51" t="inlineStr">
        <is>
          <t>Plan 22, fase I0: agregar requireAdmin y una prueba de integración con sesión de Tendero que espere 403.</t>
        </is>
      </c>
      <c r="J5" s="51" t="n"/>
      <c r="K5" s="53" t="n">
        <v>46293</v>
      </c>
      <c r="L5" s="54">
        <f>IF(K5="","",TODAY()-K5)</f>
        <v/>
      </c>
    </row>
    <row r="6" ht="23.85" customHeight="1" s="33">
      <c r="A6" s="51" t="inlineStr">
        <is>
          <t>P04-01</t>
        </is>
      </c>
      <c r="B6" s="52" t="inlineStr">
        <is>
          <t>04</t>
        </is>
      </c>
      <c r="C6" s="51" t="inlineStr">
        <is>
          <t>Posventa</t>
        </is>
      </c>
      <c r="D6" s="51" t="inlineStr">
        <is>
          <t>Devolución de productos: reintegrar la cantidad al inventario y registrar la salida de dinero de la caja o un saldo a favor</t>
        </is>
      </c>
      <c r="E6" s="51" t="inlineStr">
        <is>
          <t>Pendiente del plan</t>
        </is>
      </c>
      <c r="F6" s="51" t="inlineStr">
        <is>
          <t>No iniciado</t>
        </is>
      </c>
      <c r="G6" s="51" t="inlineStr">
        <is>
          <t>Media</t>
        </is>
      </c>
      <c r="H6" s="51" t="inlineStr">
        <is>
          <t>Plan 04, vertiente A. No existe endpoint ni pantalla de devoluciones (búsqueda en controllers, routes y frontend: sin resultados).</t>
        </is>
      </c>
      <c r="I6" s="51" t="n"/>
      <c r="J6" s="51" t="n"/>
      <c r="K6" s="53" t="n">
        <v>46292</v>
      </c>
      <c r="L6" s="54">
        <f>IF(K6="","",TODAY()-K6)</f>
        <v/>
      </c>
    </row>
    <row r="7" ht="35.05" customHeight="1" s="33">
      <c r="A7" s="51" t="inlineStr">
        <is>
          <t>P04-02</t>
        </is>
      </c>
      <c r="B7" s="52" t="inlineStr">
        <is>
          <t>04</t>
        </is>
      </c>
      <c r="C7" s="51" t="inlineStr">
        <is>
          <t>Posventa</t>
        </is>
      </c>
      <c r="D7" s="51" t="inlineStr">
        <is>
          <t>Anulación de ventas registradas por error, con motivo, usuario que anula y reajuste automático del arqueo esperado</t>
        </is>
      </c>
      <c r="E7" s="51" t="inlineStr">
        <is>
          <t>Pendiente del plan</t>
        </is>
      </c>
      <c r="F7" s="51" t="inlineStr">
        <is>
          <t>No iniciado</t>
        </is>
      </c>
      <c r="G7" s="51" t="inlineStr">
        <is>
          <t>Alta</t>
        </is>
      </c>
      <c r="H7" s="51" t="inlineStr">
        <is>
          <t>Plan 04, vertiente A. Sin implementación.</t>
        </is>
      </c>
      <c r="I7" s="51" t="inlineStr">
        <is>
          <t>Los errores de registro son la dificultad n.º 1 de la encuesta (53 %): anular bien una venta equivocada es parte de tener datos confiables.</t>
        </is>
      </c>
      <c r="J7" s="51" t="n"/>
      <c r="K7" s="53" t="n">
        <v>46292</v>
      </c>
      <c r="L7" s="54">
        <f>IF(K7="","",TODAY()-K7)</f>
        <v/>
      </c>
    </row>
    <row r="8" ht="23.85" customHeight="1" s="33">
      <c r="A8" s="51" t="inlineStr">
        <is>
          <t>P04-03</t>
        </is>
      </c>
      <c r="B8" s="52" t="inlineStr">
        <is>
          <t>04</t>
        </is>
      </c>
      <c r="C8" s="51" t="inlineStr">
        <is>
          <t>Posventa</t>
        </is>
      </c>
      <c r="D8" s="51" t="inlineStr">
        <is>
          <t>Reimpresión de comprobantes desde el historial de ventas</t>
        </is>
      </c>
      <c r="E8" s="51" t="inlineStr">
        <is>
          <t>Pendiente del plan</t>
        </is>
      </c>
      <c r="F8" s="51" t="inlineStr">
        <is>
          <t>No iniciado</t>
        </is>
      </c>
      <c r="G8" s="51" t="inlineStr">
        <is>
          <t>Media</t>
        </is>
      </c>
      <c r="H8" s="51" t="inlineStr">
        <is>
          <t>Plan 04, vertiente A. El diseño detallado está en el plan 19, sección 3.6 (recibo PDF y vista de factura).</t>
        </is>
      </c>
      <c r="I8" s="51" t="inlineStr">
        <is>
          <t>Se puede hacer junto con la fila del plan 19 sobre el recibo en PDF.</t>
        </is>
      </c>
      <c r="J8" s="51" t="n"/>
      <c r="K8" s="53" t="n">
        <v>46292</v>
      </c>
      <c r="L8" s="54">
        <f>IF(K8="","",TODAY()-K8)</f>
        <v/>
      </c>
    </row>
    <row r="9" ht="35.05" customHeight="1" s="33">
      <c r="A9" s="51" t="inlineStr">
        <is>
          <t>P04-04</t>
        </is>
      </c>
      <c r="B9" s="52" t="inlineStr">
        <is>
          <t>04</t>
        </is>
      </c>
      <c r="C9" s="51" t="inlineStr">
        <is>
          <t>Caja</t>
        </is>
      </c>
      <c r="D9" s="51" t="inlineStr">
        <is>
          <t>Egresos de caja chica con motivo, foto opcional y aprobación del administrador</t>
        </is>
      </c>
      <c r="E9" s="51" t="inlineStr">
        <is>
          <t>Pendiente del plan</t>
        </is>
      </c>
      <c r="F9" s="51" t="inlineStr">
        <is>
          <t>Terminado</t>
        </is>
      </c>
      <c r="G9" s="51" t="inlineStr">
        <is>
          <t>Media</t>
        </is>
      </c>
      <c r="H9" s="51" t="inlineStr">
        <is>
          <t>Implementado por el plan 05: ExpenseModal.jsx, HistorialEgresosTab.jsx, endpoints /api/caja/egreso. Cubierto por la prueba de integración caja.test.js.</t>
        </is>
      </c>
      <c r="I9" s="51" t="n"/>
      <c r="J9" s="51" t="n"/>
      <c r="K9" s="53" t="n">
        <v>46292</v>
      </c>
      <c r="L9" s="54">
        <f>IF(K9="","",TODAY()-K9)</f>
        <v/>
      </c>
    </row>
    <row r="10" ht="23.85" customHeight="1" s="33">
      <c r="A10" s="51" t="inlineStr">
        <is>
          <t>P04-05</t>
        </is>
      </c>
      <c r="B10" s="52" t="inlineStr">
        <is>
          <t>04</t>
        </is>
      </c>
      <c r="C10" s="51" t="inlineStr">
        <is>
          <t>Fiscal</t>
        </is>
      </c>
      <c r="D10" s="51" t="inlineStr">
        <is>
          <t>Facturación electrónica oficial ante la DIAN (XML UBL 2.1, firma y QR) mediante un proveedor autorizado</t>
        </is>
      </c>
      <c r="E10" s="51" t="inlineStr">
        <is>
          <t>Trabajo futuro</t>
        </is>
      </c>
      <c r="F10" s="51" t="inlineStr">
        <is>
          <t>No iniciado</t>
        </is>
      </c>
      <c r="G10" s="51" t="inlineStr">
        <is>
          <t>Baja</t>
        </is>
      </c>
      <c r="H10" s="51" t="inlineStr">
        <is>
          <t>Plan 04, vertiente B. Acordado como trabajo futuro para la versión académica; el POS usa documento equivalente.</t>
        </is>
      </c>
      <c r="I10" s="51" t="inlineStr">
        <is>
          <t>Revisar si es obligatoria para los clientes objetivo antes del lanzamiento comercial.</t>
        </is>
      </c>
      <c r="J10" s="51" t="n"/>
      <c r="K10" s="53" t="n">
        <v>46292</v>
      </c>
      <c r="L10" s="54">
        <f>IF(K10="","",TODAY()-K10)</f>
        <v/>
      </c>
    </row>
    <row r="11" ht="23.85" customHeight="1" s="33">
      <c r="A11" s="51" t="inlineStr">
        <is>
          <t>P05-01</t>
        </is>
      </c>
      <c r="B11" s="52" t="inlineStr">
        <is>
          <t>05</t>
        </is>
      </c>
      <c r="C11" s="51" t="inlineStr">
        <is>
          <t>Infraestructura</t>
        </is>
      </c>
      <c r="D11" s="51" t="inlineStr">
        <is>
          <t>Activar Redis en producción (REDIS_URL) cuando haya varias instancias del servidor</t>
        </is>
      </c>
      <c r="E11" s="51" t="inlineStr">
        <is>
          <t>Pendiente del plan</t>
        </is>
      </c>
      <c r="F11" s="51" t="inlineStr">
        <is>
          <t>Por verificar</t>
        </is>
      </c>
      <c r="G11" s="51" t="inlineStr">
        <is>
          <t>Media</t>
        </is>
      </c>
      <c r="H11" s="51" t="inlineStr">
        <is>
          <t>Plan 05, sección 4. El código ya lo soporta con respaldo en PostgreSQL. No está confirmado si producción tiene REDIS_URL.</t>
        </is>
      </c>
      <c r="I11" s="51" t="inlineStr">
        <is>
          <t>Requisito para el Sprint 6 (2 réplicas) y para el tiempo real con varias réplicas (plan 21, T3).</t>
        </is>
      </c>
      <c r="J11" s="51" t="n"/>
      <c r="K11" s="53" t="n">
        <v>46292</v>
      </c>
      <c r="L11" s="54">
        <f>IF(K11="","",TODAY()-K11)</f>
        <v/>
      </c>
    </row>
    <row r="12" ht="35.05" customHeight="1" s="33">
      <c r="A12" s="51" t="inlineStr">
        <is>
          <t>P06-01</t>
        </is>
      </c>
      <c r="B12" s="52" t="inlineStr">
        <is>
          <t>06</t>
        </is>
      </c>
      <c r="C12" s="51" t="inlineStr">
        <is>
          <t>Notificaciones</t>
        </is>
      </c>
      <c r="D12" s="51" t="inlineStr">
        <is>
          <t>Notificaciones de fases 1 y 2: descuadre de caja, cambio de precio, comunicados, orden enviada y metas de ventas</t>
        </is>
      </c>
      <c r="E12" s="51" t="inlineStr">
        <is>
          <t>Pendiente del plan</t>
        </is>
      </c>
      <c r="F12" s="51" t="inlineStr">
        <is>
          <t>Terminado</t>
        </is>
      </c>
      <c r="G12" s="51" t="inlineStr">
        <is>
          <t>Media</t>
        </is>
      </c>
      <c r="H12" s="51" t="inlineStr">
        <is>
          <t>Tipos descuadre_caja, cambio_precio, anuncio_admin, orden_enviada y meta_ventas presentes en los controladores y en NotificationCenter.jsx.</t>
        </is>
      </c>
      <c r="I12" s="51" t="n"/>
      <c r="J12" s="51" t="n"/>
      <c r="K12" s="53" t="n">
        <v>46292</v>
      </c>
      <c r="L12" s="54">
        <f>IF(K12="","",TODAY()-K12)</f>
        <v/>
      </c>
    </row>
    <row r="13" ht="23.85" customHeight="1" s="33">
      <c r="A13" s="51" t="inlineStr">
        <is>
          <t>P06-02</t>
        </is>
      </c>
      <c r="B13" s="52" t="inlineStr">
        <is>
          <t>06</t>
        </is>
      </c>
      <c r="C13" s="51" t="inlineStr">
        <is>
          <t>Notificaciones</t>
        </is>
      </c>
      <c r="D13" s="51" t="inlineStr">
        <is>
          <t>Umbrales de metas de ventas editables desde el panel del administrador (hoy fijos)</t>
        </is>
      </c>
      <c r="E13" s="51" t="inlineStr">
        <is>
          <t>Trabajo futuro</t>
        </is>
      </c>
      <c r="F13" s="51" t="inlineStr">
        <is>
          <t>No iniciado</t>
        </is>
      </c>
      <c r="G13" s="51" t="inlineStr">
        <is>
          <t>Baja</t>
        </is>
      </c>
      <c r="H13" s="51" t="inlineStr">
        <is>
          <t>Plan 06, punto 5 ("a futuro").</t>
        </is>
      </c>
      <c r="I13" s="51" t="n"/>
      <c r="J13" s="51" t="n"/>
      <c r="K13" s="53" t="n">
        <v>46292</v>
      </c>
      <c r="L13" s="54">
        <f>IF(K13="","",TODAY()-K13)</f>
        <v/>
      </c>
    </row>
    <row r="14" ht="23.85" customHeight="1" s="33">
      <c r="A14" s="51" t="inlineStr">
        <is>
          <t>P07-01</t>
        </is>
      </c>
      <c r="B14" s="52" t="inlineStr">
        <is>
          <t>07</t>
        </is>
      </c>
      <c r="C14" s="51" t="inlineStr">
        <is>
          <t>Móvil</t>
        </is>
      </c>
      <c r="D14" s="51" t="inlineStr">
        <is>
          <t>App nativa del Tendero en Flutter: vender (con fiado), caja con egresos, recibir mercancía, alertas y catálogo</t>
        </is>
      </c>
      <c r="E14" s="51" t="inlineStr">
        <is>
          <t>Pendiente del plan</t>
        </is>
      </c>
      <c r="F14" s="51" t="inlineStr">
        <is>
          <t>En progreso</t>
        </is>
      </c>
      <c r="G14" s="51" t="inlineStr">
        <is>
          <t>Alta</t>
        </is>
      </c>
      <c r="H14" s="51" t="inlineStr">
        <is>
          <t>Plan 07, sección 6 (3-oct). Repositorio aparte; la construye el equipo.</t>
        </is>
      </c>
      <c r="I14" s="51" t="inlineStr">
        <is>
          <t>Sigue en paralelo y sin fecha de piloto; se presenta en la sustentación (nov., día por confirmar). Desde el arranque del piloto: entorno aparte y sin versión nueva (plan 07, 6.1). Decisión del 6-oct.</t>
        </is>
      </c>
      <c r="J14" s="51" t="n"/>
      <c r="K14" s="53" t="n">
        <v>46301</v>
      </c>
      <c r="L14" s="54">
        <f>IF(K14="","",TODAY()-K14)</f>
        <v/>
      </c>
    </row>
    <row r="15" ht="23.85" customHeight="1" s="33">
      <c r="A15" s="51" t="inlineStr">
        <is>
          <t>P07-02</t>
        </is>
      </c>
      <c r="B15" s="52" t="inlineStr">
        <is>
          <t>07</t>
        </is>
      </c>
      <c r="C15" s="51" t="inlineStr">
        <is>
          <t>Backend</t>
        </is>
      </c>
      <c r="D15" s="51" t="inlineStr">
        <is>
          <t>Backend para la app: sesión por canal (web y app a la vez), Ventas.canal y docs/contrato_api_app_tendero.md con prueba por endpoint</t>
        </is>
      </c>
      <c r="E15" s="51" t="inlineStr">
        <is>
          <t>Pendiente del plan</t>
        </is>
      </c>
      <c r="F15" s="51" t="inlineStr">
        <is>
          <t>Terminado</t>
        </is>
      </c>
      <c r="G15" s="51" t="inlineStr">
        <is>
          <t>Alta</t>
        </is>
      </c>
      <c r="H15" s="51" t="inlineStr">
        <is>
          <t>Plan 07, sección 6.3; plan 22, sección 5 (A.1). Rama feat/backend-app-tendero.</t>
        </is>
      </c>
      <c r="I15" s="51" t="inlineStr">
        <is>
          <t>Mezclado en main (merge cb028d9).</t>
        </is>
      </c>
      <c r="J15" s="51" t="n"/>
      <c r="K15" s="53" t="n">
        <v>46301</v>
      </c>
      <c r="L15" s="54">
        <f>IF(K15="","",TODAY()-K15)</f>
        <v/>
      </c>
    </row>
    <row r="16" ht="23.85" customHeight="1" s="33">
      <c r="A16" s="51" t="inlineStr">
        <is>
          <t>P07-03</t>
        </is>
      </c>
      <c r="B16" s="52" t="inlineStr">
        <is>
          <t>07</t>
        </is>
      </c>
      <c r="C16" s="51" t="inlineStr">
        <is>
          <t>Visita</t>
        </is>
      </c>
      <c r="D16" s="51" t="inlineStr">
        <is>
          <t>Guion de la fase 4 (tareas, medidas, cuestionario), autorización de datos y formato de línea base para la visita</t>
        </is>
      </c>
      <c r="E16" s="51" t="inlineStr">
        <is>
          <t>Pendiente del plan</t>
        </is>
      </c>
      <c r="F16" s="51" t="inlineStr">
        <is>
          <t>No iniciado</t>
        </is>
      </c>
      <c r="G16" s="51" t="inlineStr">
        <is>
          <t>Alta</t>
        </is>
      </c>
      <c r="H16" s="51" t="inlineStr">
        <is>
          <t>Plan 22, sección 5 (A.2).</t>
        </is>
      </c>
      <c r="I16" s="51" t="inlineStr">
        <is>
          <t>Antes de la visita, ahora con la web en modo básico y una tienda de demostración (decisión del 6-oct).</t>
        </is>
      </c>
      <c r="J16" s="51" t="n"/>
      <c r="K16" s="53" t="n">
        <v>46301</v>
      </c>
      <c r="L16" s="54">
        <f>IF(K16="","",TODAY()-K16)</f>
        <v/>
      </c>
    </row>
    <row r="17" ht="23.85" customHeight="1" s="33">
      <c r="A17" s="51" t="inlineStr">
        <is>
          <t>P07-04</t>
        </is>
      </c>
      <c r="B17" s="52" t="inlineStr">
        <is>
          <t>07</t>
        </is>
      </c>
      <c r="C17" s="51" t="inlineStr">
        <is>
          <t>Infraestructura</t>
        </is>
      </c>
      <c r="D17" s="51" t="inlineStr">
        <is>
          <t>Decidir si se mantiene despierto Render en horario de tienda con un ping (plan gratuito: se duerme tras 15 min y tarda ~1 min en volver)</t>
        </is>
      </c>
      <c r="E17" s="51" t="inlineStr">
        <is>
          <t>Decisión pendiente</t>
        </is>
      </c>
      <c r="F17" s="51" t="inlineStr">
        <is>
          <t>No iniciado</t>
        </is>
      </c>
      <c r="G17" s="51" t="inlineStr">
        <is>
          <t>Media</t>
        </is>
      </c>
      <c r="H17" s="51" t="inlineStr">
        <is>
          <t>Plan 22, sección 5 (C.5).</t>
        </is>
      </c>
      <c r="I17" s="51" t="inlineStr">
        <is>
          <t>Mientras tanto, abrir la app unos minutos antes de entrar a cada tienda.</t>
        </is>
      </c>
      <c r="J17" s="51" t="n"/>
      <c r="K17" s="53" t="n">
        <v>46292</v>
      </c>
      <c r="L17" s="54">
        <f>IF(K17="","",TODAY()-K17)</f>
        <v/>
      </c>
    </row>
    <row r="18" ht="23.85" customHeight="1" s="33">
      <c r="A18" s="51" t="inlineStr">
        <is>
          <t>P07-05</t>
        </is>
      </c>
      <c r="B18" s="52" t="inlineStr">
        <is>
          <t>07</t>
        </is>
      </c>
      <c r="C18" s="51" t="inlineStr">
        <is>
          <t>Móvil</t>
        </is>
      </c>
      <c r="D18" s="51" t="inlineStr">
        <is>
          <t>Distribución en iPhone (requiere Mac y membresía de pago de Apple para TestFlight)</t>
        </is>
      </c>
      <c r="E18" s="51" t="inlineStr">
        <is>
          <t>Trabajo futuro</t>
        </is>
      </c>
      <c r="F18" s="51" t="inlineStr">
        <is>
          <t>No iniciado</t>
        </is>
      </c>
      <c r="G18" s="51" t="inlineStr">
        <is>
          <t>Baja</t>
        </is>
      </c>
      <c r="H18" s="51" t="inlineStr">
        <is>
          <t>Plan 07, sección 6.3.</t>
        </is>
      </c>
      <c r="I18" s="51" t="inlineStr">
        <is>
          <t>Después del piloto.</t>
        </is>
      </c>
      <c r="J18" s="51" t="n"/>
      <c r="K18" s="53" t="n">
        <v>46292</v>
      </c>
      <c r="L18" s="54">
        <f>IF(K18="","",TODAY()-K18)</f>
        <v/>
      </c>
    </row>
    <row r="19" ht="23.85" customHeight="1" s="33">
      <c r="A19" s="51" t="inlineStr">
        <is>
          <t>P08-01</t>
        </is>
      </c>
      <c r="B19" s="52" t="inlineStr">
        <is>
          <t>08</t>
        </is>
      </c>
      <c r="C19" s="51" t="inlineStr">
        <is>
          <t>Cartera</t>
        </is>
      </c>
      <c r="D19" s="51" t="inlineStr">
        <is>
          <t>Gestión de fiados con clientes, abonos y análisis de riesgo con IA</t>
        </is>
      </c>
      <c r="E19" s="51" t="inlineStr">
        <is>
          <t>Pendiente del plan</t>
        </is>
      </c>
      <c r="F19" s="51" t="inlineStr">
        <is>
          <t>Terminado</t>
        </is>
      </c>
      <c r="G19" s="51" t="inlineStr">
        <is>
          <t>Alta</t>
        </is>
      </c>
      <c r="H19" s="51" t="inlineStr">
        <is>
          <t>CarteraPage.jsx, clienteController.js, aiController.assessClientRisk. Cubierto por cartera.test.js (integración).</t>
        </is>
      </c>
      <c r="I19" s="51" t="n"/>
      <c r="J19" s="51" t="n"/>
      <c r="K19" s="53" t="n">
        <v>46292</v>
      </c>
      <c r="L19" s="54">
        <f>IF(K19="","",TODAY()-K19)</f>
        <v/>
      </c>
    </row>
    <row r="20" ht="23.85" customHeight="1" s="33">
      <c r="A20" s="51" t="inlineStr">
        <is>
          <t>P08-02</t>
        </is>
      </c>
      <c r="B20" s="52" t="inlineStr">
        <is>
          <t>08</t>
        </is>
      </c>
      <c r="C20" s="51" t="inlineStr">
        <is>
          <t>Métodos de pago</t>
        </is>
      </c>
      <c r="D20" s="51" t="inlineStr">
        <is>
          <t>Registrar el método de pago de cada venta y usar solo el efectivo en el arqueo</t>
        </is>
      </c>
      <c r="E20" s="51" t="inlineStr">
        <is>
          <t>Pendiente del plan</t>
        </is>
      </c>
      <c r="F20" s="51" t="inlineStr">
        <is>
          <t>Terminado</t>
        </is>
      </c>
      <c r="G20" s="51" t="inlineStr">
        <is>
          <t>Media</t>
        </is>
      </c>
      <c r="H20" s="51" t="inlineStr">
        <is>
          <t>Implementado en el plan 01 (PaymentModal, Ventas.metodo_pago).</t>
        </is>
      </c>
      <c r="I20" s="51" t="n"/>
      <c r="J20" s="51" t="n"/>
      <c r="K20" s="53" t="n">
        <v>46292</v>
      </c>
      <c r="L20" s="54">
        <f>IF(K20="","",TODAY()-K20)</f>
        <v/>
      </c>
    </row>
    <row r="21" ht="35.05" customHeight="1" s="33">
      <c r="A21" s="51" t="inlineStr">
        <is>
          <t>P08-03</t>
        </is>
      </c>
      <c r="B21" s="52" t="inlineStr">
        <is>
          <t>08</t>
        </is>
      </c>
      <c r="C21" s="51" t="inlineStr">
        <is>
          <t>Analítica</t>
        </is>
      </c>
      <c r="D21" s="51" t="inlineStr">
        <is>
          <t>Panel de rentabilidad por producto: margen × unidades, ranking y alerta de "producto trampa" (clase A con margen &lt; 10 %)</t>
        </is>
      </c>
      <c r="E21" s="51" t="inlineStr">
        <is>
          <t>Pendiente del plan</t>
        </is>
      </c>
      <c r="F21" s="51" t="inlineStr">
        <is>
          <t>Parcial</t>
        </is>
      </c>
      <c r="G21" s="51" t="inlineStr">
        <is>
          <t>Media</t>
        </is>
      </c>
      <c r="H21" s="51" t="inlineStr">
        <is>
          <t>Hoy existe el margen promedio en el Dashboard y una columna de ganancia en el Excel de reportes; no hay vista por producto ni alertas.</t>
        </is>
      </c>
      <c r="I21" s="51" t="n"/>
      <c r="J21" s="51" t="n"/>
      <c r="K21" s="53" t="n">
        <v>46292</v>
      </c>
      <c r="L21" s="54">
        <f>IF(K21="","",TODAY()-K21)</f>
        <v/>
      </c>
    </row>
    <row r="22" ht="23.85" customHeight="1" s="33">
      <c r="A22" s="51" t="inlineStr">
        <is>
          <t>P08-04</t>
        </is>
      </c>
      <c r="B22" s="52" t="inlineStr">
        <is>
          <t>08</t>
        </is>
      </c>
      <c r="C22" s="51" t="inlineStr">
        <is>
          <t>Inventario</t>
        </is>
      </c>
      <c r="D22" s="51" t="inlineStr">
        <is>
          <t>Conteo físico guiado: listar productos, capturar el conteo real, reporte de diferencias valorizado y ajuste masivo</t>
        </is>
      </c>
      <c r="E22" s="51" t="inlineStr">
        <is>
          <t>Pendiente del plan</t>
        </is>
      </c>
      <c r="F22" s="51" t="inlineStr">
        <is>
          <t>Parcial</t>
        </is>
      </c>
      <c r="G22" s="51" t="inlineStr">
        <is>
          <t>Media</t>
        </is>
      </c>
      <c r="H22" s="51" t="inlineStr">
        <is>
          <t>Existe el ajuste individual "por conteo físico" (inventoryController). No hay sesión de conteo ni tablas ConteoFisico/DetalleConteo.</t>
        </is>
      </c>
      <c r="I22" s="51" t="inlineStr">
        <is>
          <t>Sirve de instrumento para el indicador "exactitud de inventario" del piloto (fase 5).</t>
        </is>
      </c>
      <c r="J22" s="51" t="n"/>
      <c r="K22" s="53" t="n">
        <v>46292</v>
      </c>
      <c r="L22" s="54">
        <f>IF(K22="","",TODAY()-K22)</f>
        <v/>
      </c>
    </row>
    <row r="23" ht="23.85" customHeight="1" s="33">
      <c r="A23" s="51" t="inlineStr">
        <is>
          <t>P08-05</t>
        </is>
      </c>
      <c r="B23" s="52" t="inlineStr">
        <is>
          <t>08</t>
        </is>
      </c>
      <c r="C23" s="51" t="inlineStr">
        <is>
          <t>Proveedores</t>
        </is>
      </c>
      <c r="D23" s="51" t="inlineStr">
        <is>
          <t>Historial de precios de costo por producto y proveedor, con gráfica de evolución</t>
        </is>
      </c>
      <c r="E23" s="51" t="inlineStr">
        <is>
          <t>Pendiente del plan</t>
        </is>
      </c>
      <c r="F23" s="51" t="inlineStr">
        <is>
          <t>No iniciado</t>
        </is>
      </c>
      <c r="G23" s="51" t="inlineStr">
        <is>
          <t>Media</t>
        </is>
      </c>
      <c r="H23" s="51" t="inlineStr">
        <is>
          <t>Historial_Precios registra cambios del precio de venta hechos por estrategias de IA, no del costo.</t>
        </is>
      </c>
      <c r="I23" s="51" t="n"/>
      <c r="J23" s="51" t="n"/>
      <c r="K23" s="53" t="n">
        <v>46292</v>
      </c>
      <c r="L23" s="54">
        <f>IF(K23="","",TODAY()-K23)</f>
        <v/>
      </c>
    </row>
    <row r="24" ht="23.85" customHeight="1" s="33">
      <c r="A24" s="51" t="inlineStr">
        <is>
          <t>P08-06</t>
        </is>
      </c>
      <c r="B24" s="52" t="inlineStr">
        <is>
          <t>08</t>
        </is>
      </c>
      <c r="C24" s="51" t="inlineStr">
        <is>
          <t>Notificaciones</t>
        </is>
      </c>
      <c r="D24" s="51" t="inlineStr">
        <is>
          <t>Notificaciones push en el celular (Web Push con service worker)</t>
        </is>
      </c>
      <c r="E24" s="51" t="inlineStr">
        <is>
          <t>Pendiente del plan</t>
        </is>
      </c>
      <c r="F24" s="51" t="inlineStr">
        <is>
          <t>No iniciado</t>
        </is>
      </c>
      <c r="G24" s="51" t="inlineStr">
        <is>
          <t>Media</t>
        </is>
      </c>
      <c r="H24" s="51" t="inlineStr">
        <is>
          <t>Plan 08, punto 6. Relacionado con las alertas en tiempo real del plan 21.</t>
        </is>
      </c>
      <c r="I24" s="51" t="n"/>
      <c r="J24" s="51" t="n"/>
      <c r="K24" s="53" t="n">
        <v>46292</v>
      </c>
      <c r="L24" s="54">
        <f>IF(K24="","",TODAY()-K24)</f>
        <v/>
      </c>
    </row>
    <row r="25" ht="35.05" customHeight="1" s="33">
      <c r="A25" s="51" t="inlineStr">
        <is>
          <t>P08-07</t>
        </is>
      </c>
      <c r="B25" s="52" t="inlineStr">
        <is>
          <t>08</t>
        </is>
      </c>
      <c r="C25" s="51" t="inlineStr">
        <is>
          <t>Canales</t>
        </is>
      </c>
      <c r="D25" s="51" t="inlineStr">
        <is>
          <t>Integración con WhatsApp para alertas y pedidos</t>
        </is>
      </c>
      <c r="E25" s="51" t="inlineStr">
        <is>
          <t>Trabajo futuro</t>
        </is>
      </c>
      <c r="F25" s="51" t="inlineStr">
        <is>
          <t>No iniciado</t>
        </is>
      </c>
      <c r="G25" s="51" t="inlineStr">
        <is>
          <t>Media</t>
        </is>
      </c>
      <c r="H25" s="51" t="inlineStr">
        <is>
          <t>Plan 08, tier 3.</t>
        </is>
      </c>
      <c r="I25" s="51" t="inlineStr">
        <is>
          <t>Decisión previa de Luis: whatsapp-web.js detrás de una capa de abstracción para el MVP académico; API oficial de Meta para el lanzamiento comercial.</t>
        </is>
      </c>
      <c r="J25" s="51" t="n"/>
      <c r="K25" s="53" t="n">
        <v>46292</v>
      </c>
      <c r="L25" s="54">
        <f>IF(K25="","",TODAY()-K25)</f>
        <v/>
      </c>
    </row>
    <row r="26" ht="15" customHeight="1" s="33">
      <c r="A26" s="51" t="inlineStr">
        <is>
          <t>P08-08</t>
        </is>
      </c>
      <c r="B26" s="52" t="inlineStr">
        <is>
          <t>08</t>
        </is>
      </c>
      <c r="C26" s="51" t="inlineStr">
        <is>
          <t>Canales</t>
        </is>
      </c>
      <c r="D26" s="51" t="inlineStr">
        <is>
          <t>Catálogo público de la tienda ("vitrina digital") para los clientes del barrio</t>
        </is>
      </c>
      <c r="E26" s="51" t="inlineStr">
        <is>
          <t>Trabajo futuro</t>
        </is>
      </c>
      <c r="F26" s="51" t="inlineStr">
        <is>
          <t>No iniciado</t>
        </is>
      </c>
      <c r="G26" s="51" t="inlineStr">
        <is>
          <t>Baja</t>
        </is>
      </c>
      <c r="H26" s="51" t="inlineStr">
        <is>
          <t>Plan 08, tier 3.</t>
        </is>
      </c>
      <c r="I26" s="51" t="n"/>
      <c r="J26" s="51" t="n"/>
      <c r="K26" s="53" t="n">
        <v>46292</v>
      </c>
      <c r="L26" s="54">
        <f>IF(K26="","",TODAY()-K26)</f>
        <v/>
      </c>
    </row>
    <row r="27" ht="35.05" customHeight="1" s="33">
      <c r="A27" s="51" t="inlineStr">
        <is>
          <t>P08-09</t>
        </is>
      </c>
      <c r="B27" s="52" t="inlineStr">
        <is>
          <t>08</t>
        </is>
      </c>
      <c r="C27" s="51" t="inlineStr">
        <is>
          <t>Multi-tienda</t>
        </is>
      </c>
      <c r="D27" s="51" t="inlineStr">
        <is>
          <t>Vista consolidada de varias tiendas para un mismo administrador</t>
        </is>
      </c>
      <c r="E27" s="51" t="inlineStr">
        <is>
          <t>Trabajo futuro</t>
        </is>
      </c>
      <c r="F27" s="51" t="inlineStr">
        <is>
          <t>Por verificar</t>
        </is>
      </c>
      <c r="G27" s="51" t="inlineStr">
        <is>
          <t>Baja</t>
        </is>
      </c>
      <c r="H27" s="51" t="inlineStr">
        <is>
          <t>Plan 08, tier 3. Hay soporte de varias tiendas (TiendasPage, scripts/migrate_multistore.js); falta confirmar si existe una vista consolidada.</t>
        </is>
      </c>
      <c r="I27" s="51" t="n"/>
      <c r="J27" s="51" t="n"/>
      <c r="K27" s="53" t="n">
        <v>46292</v>
      </c>
      <c r="L27" s="54">
        <f>IF(K27="","",TODAY()-K27)</f>
        <v/>
      </c>
    </row>
    <row r="28" ht="35.05" customHeight="1" s="33">
      <c r="A28" s="51" t="inlineStr">
        <is>
          <t>P09-01</t>
        </is>
      </c>
      <c r="B28" s="52" t="inlineStr">
        <is>
          <t>09</t>
        </is>
      </c>
      <c r="C28" s="51" t="inlineStr">
        <is>
          <t>UX</t>
        </is>
      </c>
      <c r="D28" s="51" t="inlineStr">
        <is>
          <t>La barra lateral queda por encima del fondo de los modales y se puede navegar con un cobro a medias</t>
        </is>
      </c>
      <c r="E28" s="51" t="inlineStr">
        <is>
          <t>Observación / defecto</t>
        </is>
      </c>
      <c r="F28" s="51" t="inlineStr">
        <is>
          <t>Parcial</t>
        </is>
      </c>
      <c r="G28" s="51" t="inlineStr">
        <is>
          <t>Media</t>
        </is>
      </c>
      <c r="H28" s="51" t="inlineStr">
        <is>
          <t>En escritorio ya está resuelto (Sidebar z-40 frente a modales z-50/z-100). En móvil el menú abierto usa z-[200]: verificar a 390 px con un modal abierto.</t>
        </is>
      </c>
      <c r="I28" s="51" t="inlineStr">
        <is>
          <t>Reportado también en el plan 14, observación 1.</t>
        </is>
      </c>
      <c r="J28" s="51" t="n"/>
      <c r="K28" s="53" t="n">
        <v>46292</v>
      </c>
      <c r="L28" s="54">
        <f>IF(K28="","",TODAY()-K28)</f>
        <v/>
      </c>
    </row>
    <row r="29" ht="15" customHeight="1" s="33">
      <c r="A29" s="51" t="inlineStr">
        <is>
          <t>P09-02</t>
        </is>
      </c>
      <c r="B29" s="52" t="inlineStr">
        <is>
          <t>09</t>
        </is>
      </c>
      <c r="C29" s="51" t="inlineStr">
        <is>
          <t>UX</t>
        </is>
      </c>
      <c r="D29" s="51" t="inlineStr">
        <is>
          <t>Auditoría: 5 tarjetas en una grilla de 4 columnas deja la última sola</t>
        </is>
      </c>
      <c r="E29" s="51" t="inlineStr">
        <is>
          <t>Observación / defecto</t>
        </is>
      </c>
      <c r="F29" s="51" t="inlineStr">
        <is>
          <t>Por verificar</t>
        </is>
      </c>
      <c r="G29" s="51" t="inlineStr">
        <is>
          <t>Baja</t>
        </is>
      </c>
      <c r="H29" s="51" t="inlineStr">
        <is>
          <t>AuditoriaPage.jsx sigue con lg:grid-cols-4.</t>
        </is>
      </c>
      <c r="I29" s="51" t="n"/>
      <c r="J29" s="51" t="n"/>
      <c r="K29" s="53" t="n">
        <v>46292</v>
      </c>
      <c r="L29" s="54">
        <f>IF(K29="","",TODAY()-K29)</f>
        <v/>
      </c>
    </row>
    <row r="30" ht="35.05" customHeight="1" s="33">
      <c r="A30" s="51" t="inlineStr">
        <is>
          <t>P09-03</t>
        </is>
      </c>
      <c r="B30" s="52" t="inlineStr">
        <is>
          <t>09</t>
        </is>
      </c>
      <c r="C30" s="51" t="inlineStr">
        <is>
          <t>POS</t>
        </is>
      </c>
      <c r="D30" s="51" t="inlineStr">
        <is>
          <t>Historial de ventas sin paginación: cargarMasVentas existe pero no está conectado a ningún botón</t>
        </is>
      </c>
      <c r="E30" s="51" t="inlineStr">
        <is>
          <t>Observación / defecto</t>
        </is>
      </c>
      <c r="F30" s="51" t="inlineStr">
        <is>
          <t>No iniciado</t>
        </is>
      </c>
      <c r="G30" s="51" t="inlineStr">
        <is>
          <t>Media</t>
        </is>
      </c>
      <c r="H30" s="51" t="inlineStr">
        <is>
          <t>TODO en frontend/src/components/puntoventa/HistorialVentasTab.jsx, línea 70.</t>
        </is>
      </c>
      <c r="I30" s="51" t="inlineStr">
        <is>
          <t>Solo se ve la primera página de ventas.</t>
        </is>
      </c>
      <c r="J30" s="51" t="n"/>
      <c r="K30" s="53" t="n">
        <v>46292</v>
      </c>
      <c r="L30" s="54">
        <f>IF(K30="","",TODAY()-K30)</f>
        <v/>
      </c>
    </row>
    <row r="31" ht="23.85" customHeight="1" s="33">
      <c r="A31" s="51" t="inlineStr">
        <is>
          <t>P09-04</t>
        </is>
      </c>
      <c r="B31" s="52" t="inlineStr">
        <is>
          <t>09</t>
        </is>
      </c>
      <c r="C31" s="51" t="inlineStr">
        <is>
          <t>Dependencias</t>
        </is>
      </c>
      <c r="D31" s="51" t="inlineStr">
        <is>
          <t>react-router-dom y axios están en devDependencies siendo dependencias de ejecución</t>
        </is>
      </c>
      <c r="E31" s="51" t="inlineStr">
        <is>
          <t>Observación / defecto</t>
        </is>
      </c>
      <c r="F31" s="51" t="inlineStr">
        <is>
          <t>No iniciado</t>
        </is>
      </c>
      <c r="G31" s="51" t="inlineStr">
        <is>
          <t>Baja</t>
        </is>
      </c>
      <c r="H31" s="51" t="inlineStr">
        <is>
          <t>frontend/package.json.</t>
        </is>
      </c>
      <c r="I31" s="51" t="inlineStr">
        <is>
          <t>Puede romper un build que instale solo dependencias de producción.</t>
        </is>
      </c>
      <c r="J31" s="51" t="n"/>
      <c r="K31" s="53" t="n">
        <v>46292</v>
      </c>
      <c r="L31" s="54">
        <f>IF(K31="","",TODAY()-K31)</f>
        <v/>
      </c>
    </row>
    <row r="32" ht="23.85" customHeight="1" s="33">
      <c r="A32" s="51" t="inlineStr">
        <is>
          <t>P09-05</t>
        </is>
      </c>
      <c r="B32" s="52" t="inlineStr">
        <is>
          <t>09</t>
        </is>
      </c>
      <c r="C32" s="51" t="inlineStr">
        <is>
          <t>Rendimiento</t>
        </is>
      </c>
      <c r="D32" s="51" t="inlineStr">
        <is>
          <t>Chunks del frontend mayores a 500 kB; cargar recharts y las rutas de forma diferida</t>
        </is>
      </c>
      <c r="E32" s="51" t="inlineStr">
        <is>
          <t>Observación / defecto</t>
        </is>
      </c>
      <c r="F32" s="51" t="inlineStr">
        <is>
          <t>No iniciado</t>
        </is>
      </c>
      <c r="G32" s="51" t="inlineStr">
        <is>
          <t>Media</t>
        </is>
      </c>
      <c r="H32" s="51" t="inlineStr">
        <is>
          <t>Plan 09, sección 6. Solo 2 de 23 páginas usan lazy().</t>
        </is>
      </c>
      <c r="I32" s="51" t="inlineStr">
        <is>
          <t>Incluido en el plan 21, R3 punto 4.</t>
        </is>
      </c>
      <c r="J32" s="51" t="n"/>
      <c r="K32" s="53" t="n">
        <v>46292</v>
      </c>
      <c r="L32" s="54">
        <f>IF(K32="","",TODAY()-K32)</f>
        <v/>
      </c>
    </row>
    <row r="33" ht="23.85" customHeight="1" s="33">
      <c r="A33" s="51" t="inlineStr">
        <is>
          <t>P09-06</t>
        </is>
      </c>
      <c r="B33" s="52" t="inlineStr">
        <is>
          <t>09</t>
        </is>
      </c>
      <c r="C33" s="51" t="inlineStr">
        <is>
          <t>Diseño</t>
        </is>
      </c>
      <c r="D33" s="51" t="inlineStr">
        <is>
          <t>Tokens de @theme que solo usa JS (ToastContext) pueden dejar de emitirse si ninguna clase los usa</t>
        </is>
      </c>
      <c r="E33" s="51" t="inlineStr">
        <is>
          <t>Observación / defecto</t>
        </is>
      </c>
      <c r="F33" s="51" t="inlineStr">
        <is>
          <t>No iniciado</t>
        </is>
      </c>
      <c r="G33" s="51" t="inlineStr">
        <is>
          <t>Baja</t>
        </is>
      </c>
      <c r="H33" s="51" t="inlineStr">
        <is>
          <t>Plan 09, sección 6.</t>
        </is>
      </c>
      <c r="I33" s="51" t="n"/>
      <c r="J33" s="51" t="n"/>
      <c r="K33" s="53" t="n">
        <v>46292</v>
      </c>
      <c r="L33" s="54">
        <f>IF(K33="","",TODAY()-K33)</f>
        <v/>
      </c>
    </row>
    <row r="34" ht="23.85" customHeight="1" s="33">
      <c r="A34" s="51" t="inlineStr">
        <is>
          <t>P10-01</t>
        </is>
      </c>
      <c r="B34" s="52" t="inlineStr">
        <is>
          <t>10</t>
        </is>
      </c>
      <c r="C34" s="51" t="inlineStr">
        <is>
          <t>Calidad</t>
        </is>
      </c>
      <c r="D34" s="51" t="inlineStr">
        <is>
          <t>Agregar eslint.config.js y la dependencia eslint al backend para que el lint corra en CI</t>
        </is>
      </c>
      <c r="E34" s="51" t="inlineStr">
        <is>
          <t>Pendiente del plan</t>
        </is>
      </c>
      <c r="F34" s="51" t="inlineStr">
        <is>
          <t>No iniciado</t>
        </is>
      </c>
      <c r="G34" s="51" t="inlineStr">
        <is>
          <t>Media</t>
        </is>
      </c>
      <c r="H34" s="51" t="inlineStr">
        <is>
          <t>Plan 10, secciones 2 y 4. No existe eslint.config.* en la raíz.</t>
        </is>
      </c>
      <c r="I34" s="51" t="n"/>
      <c r="J34" s="51" t="n"/>
      <c r="K34" s="53" t="n">
        <v>46292</v>
      </c>
      <c r="L34" s="54">
        <f>IF(K34="","",TODAY()-K34)</f>
        <v/>
      </c>
    </row>
    <row r="35" ht="23.85" customHeight="1" s="33">
      <c r="A35" s="51" t="inlineStr">
        <is>
          <t>P10-02</t>
        </is>
      </c>
      <c r="B35" s="52" t="inlineStr">
        <is>
          <t>10</t>
        </is>
      </c>
      <c r="C35" s="51" t="inlineStr">
        <is>
          <t>Pruebas</t>
        </is>
      </c>
      <c r="D35" s="51" t="inlineStr">
        <is>
          <t>Plantilla de generar_reporte.js: versión de Vitest corregida (v4), pero sigue diciendo "Certificado Oficial" y "Production-Ready"</t>
        </is>
      </c>
      <c r="E35" s="51" t="inlineStr">
        <is>
          <t>Observación / defecto</t>
        </is>
      </c>
      <c r="F35" s="51" t="inlineStr">
        <is>
          <t>Parcial</t>
        </is>
      </c>
      <c r="G35" s="51" t="inlineStr">
        <is>
          <t>Media</t>
        </is>
      </c>
      <c r="H35" s="51" t="inlineStr">
        <is>
          <t>generar_reporte.js, líneas 68-108.</t>
        </is>
      </c>
      <c r="I35" s="51" t="inlineStr">
        <is>
          <t>Corregir el tono antes de anexar el reporte a un entregable.</t>
        </is>
      </c>
      <c r="J35" s="51" t="n"/>
      <c r="K35" s="53" t="n">
        <v>46292</v>
      </c>
      <c r="L35" s="54">
        <f>IF(K35="","",TODAY()-K35)</f>
        <v/>
      </c>
    </row>
    <row r="36" ht="23.85" customHeight="1" s="33">
      <c r="A36" s="51" t="inlineStr">
        <is>
          <t>P10-03</t>
        </is>
      </c>
      <c r="B36" s="52" t="inlineStr">
        <is>
          <t>10</t>
        </is>
      </c>
      <c r="C36" s="51" t="inlineStr">
        <is>
          <t>Seguridad</t>
        </is>
      </c>
      <c r="D36" s="51" t="inlineStr">
        <is>
          <t>test_disable_2fa.js en la raíz inserta datos en la base real</t>
        </is>
      </c>
      <c r="E36" s="51" t="inlineStr">
        <is>
          <t>Observación / defecto</t>
        </is>
      </c>
      <c r="F36" s="51" t="inlineStr">
        <is>
          <t>No iniciado</t>
        </is>
      </c>
      <c r="G36" s="51" t="inlineStr">
        <is>
          <t>Baja</t>
        </is>
      </c>
      <c r="H36" s="51" t="inlineStr">
        <is>
          <t>Plan 10, sección 3.2.</t>
        </is>
      </c>
      <c r="I36" s="51" t="inlineStr">
        <is>
          <t>Moverlo a scripts/ con la protección de base de pruebas o eliminarlo.</t>
        </is>
      </c>
      <c r="J36" s="51" t="n"/>
      <c r="K36" s="53" t="n">
        <v>46292</v>
      </c>
      <c r="L36" s="54">
        <f>IF(K36="","",TODAY()-K36)</f>
        <v/>
      </c>
    </row>
    <row r="37" ht="23.85" customHeight="1" s="33">
      <c r="A37" s="51" t="inlineStr">
        <is>
          <t>P10-04</t>
        </is>
      </c>
      <c r="B37" s="52" t="inlineStr">
        <is>
          <t>10</t>
        </is>
      </c>
      <c r="C37" s="51" t="inlineStr">
        <is>
          <t>Datos</t>
        </is>
      </c>
      <c r="D37" s="51" t="inlineStr">
        <is>
          <t>seed_test_data.js hace TRUNCATE de todas las tablas sin verificar a qué base apunta</t>
        </is>
      </c>
      <c r="E37" s="51" t="inlineStr">
        <is>
          <t>Observación / defecto</t>
        </is>
      </c>
      <c r="F37" s="51" t="inlineStr">
        <is>
          <t>No iniciado</t>
        </is>
      </c>
      <c r="G37" s="51" t="inlineStr">
        <is>
          <t>Media</t>
        </is>
      </c>
      <c r="H37" s="51" t="inlineStr">
        <is>
          <t>Plan 10, sección 3.1.</t>
        </is>
      </c>
      <c r="I37" s="51" t="inlineStr">
        <is>
          <t>Agregar la misma protección de setupTestDb.js (nombre terminado en _test y host local).</t>
        </is>
      </c>
      <c r="J37" s="51" t="n"/>
      <c r="K37" s="53" t="n">
        <v>46292</v>
      </c>
      <c r="L37" s="54">
        <f>IF(K37="","",TODAY()-K37)</f>
        <v/>
      </c>
    </row>
    <row r="38" ht="23.85" customHeight="1" s="33">
      <c r="A38" s="51" t="inlineStr">
        <is>
          <t>P11-01</t>
        </is>
      </c>
      <c r="B38" s="52" t="inlineStr">
        <is>
          <t>11</t>
        </is>
      </c>
      <c r="C38" s="51" t="inlineStr">
        <is>
          <t>Motor</t>
        </is>
      </c>
      <c r="D38" s="51" t="inlineStr">
        <is>
          <t>Acotar la tendencia (0,5× a 2×) y exigir un mínimo de ventas</t>
        </is>
      </c>
      <c r="E38" s="51" t="inlineStr">
        <is>
          <t>Observación / defecto</t>
        </is>
      </c>
      <c r="F38" s="51" t="inlineStr">
        <is>
          <t>Terminado</t>
        </is>
      </c>
      <c r="G38" s="51" t="inlineStr">
        <is>
          <t>Media</t>
        </is>
      </c>
      <c r="H38" s="51" t="inlineStr">
        <is>
          <t>utils/reposicion.js: TENDENCIA_MIN/MAX y MIN_VENTAS_PARA_TENDENCIA.</t>
        </is>
      </c>
      <c r="I38" s="51" t="n"/>
      <c r="J38" s="51" t="n"/>
      <c r="K38" s="53" t="n">
        <v>46292</v>
      </c>
      <c r="L38" s="54">
        <f>IF(K38="","",TODAY()-K38)</f>
        <v/>
      </c>
    </row>
    <row r="39" ht="23.85" customHeight="1" s="33">
      <c r="A39" s="51" t="inlineStr">
        <is>
          <t>P11-02</t>
        </is>
      </c>
      <c r="B39" s="52" t="inlineStr">
        <is>
          <t>11</t>
        </is>
      </c>
      <c r="C39" s="51" t="inlineStr">
        <is>
          <t>IA</t>
        </is>
      </c>
      <c r="D39" s="51" t="inlineStr">
        <is>
          <t>Confianza 50 %/20 % en todas las tarjetas mientras no haya historial en Feedback_IA</t>
        </is>
      </c>
      <c r="E39" s="51" t="inlineStr">
        <is>
          <t>Observación / defecto</t>
        </is>
      </c>
      <c r="F39" s="51" t="inlineStr">
        <is>
          <t>No iniciado</t>
        </is>
      </c>
      <c r="G39" s="51" t="inlineStr">
        <is>
          <t>Baja</t>
        </is>
      </c>
      <c r="H39" s="51" t="inlineStr">
        <is>
          <t>Plan 11, sección 5.</t>
        </is>
      </c>
      <c r="I39" s="51" t="inlineStr">
        <is>
          <t>Ya no se resuelve con los datos del piloto: el modo básico no muestra la IA y el piloto no la evalúa (plan 23). Con el evaluador corregido (P23-01) se podrá medir en el modo avanzado.</t>
        </is>
      </c>
      <c r="J39" s="51" t="n"/>
      <c r="K39" s="53" t="n">
        <v>46301</v>
      </c>
      <c r="L39" s="54">
        <f>IF(K39="","",TODAY()-K39)</f>
        <v/>
      </c>
    </row>
    <row r="40" ht="15" customHeight="1" s="33">
      <c r="A40" s="51" t="inlineStr">
        <is>
          <t>P12-01</t>
        </is>
      </c>
      <c r="B40" s="52" t="inlineStr">
        <is>
          <t>12</t>
        </is>
      </c>
      <c r="C40" s="51" t="inlineStr">
        <is>
          <t>UX</t>
        </is>
      </c>
      <c r="D40" s="51" t="inlineStr">
        <is>
          <t>Tabla de Movimientos: la columna Observaciones queda fuera de vista</t>
        </is>
      </c>
      <c r="E40" s="51" t="inlineStr">
        <is>
          <t>Observación / defecto</t>
        </is>
      </c>
      <c r="F40" s="51" t="inlineStr">
        <is>
          <t>No iniciado</t>
        </is>
      </c>
      <c r="G40" s="51" t="inlineStr">
        <is>
          <t>Baja</t>
        </is>
      </c>
      <c r="H40" s="51" t="inlineStr">
        <is>
          <t>Plan 12, sección 5.</t>
        </is>
      </c>
      <c r="I40" s="51" t="n"/>
      <c r="J40" s="51" t="n"/>
      <c r="K40" s="53" t="n">
        <v>46292</v>
      </c>
      <c r="L40" s="54">
        <f>IF(K40="","",TODAY()-K40)</f>
        <v/>
      </c>
    </row>
    <row r="41" ht="23.85" customHeight="1" s="33">
      <c r="A41" s="51" t="inlineStr">
        <is>
          <t>P12-02</t>
        </is>
      </c>
      <c r="B41" s="52" t="inlineStr">
        <is>
          <t>12</t>
        </is>
      </c>
      <c r="C41" s="51" t="inlineStr">
        <is>
          <t>UX</t>
        </is>
      </c>
      <c r="D41" s="51" t="inlineStr">
        <is>
          <t>Columna de producto estrecha en Productos y Movimientos (nombres largos en 3 líneas)</t>
        </is>
      </c>
      <c r="E41" s="51" t="inlineStr">
        <is>
          <t>Observación / defecto</t>
        </is>
      </c>
      <c r="F41" s="51" t="inlineStr">
        <is>
          <t>No iniciado</t>
        </is>
      </c>
      <c r="G41" s="51" t="inlineStr">
        <is>
          <t>Baja</t>
        </is>
      </c>
      <c r="H41" s="51" t="inlineStr">
        <is>
          <t>Plan 12, sección 5, y plan 14, observación 6.</t>
        </is>
      </c>
      <c r="I41" s="51" t="n"/>
      <c r="J41" s="51" t="n"/>
      <c r="K41" s="53" t="n">
        <v>46292</v>
      </c>
      <c r="L41" s="54">
        <f>IF(K41="","",TODAY()-K41)</f>
        <v/>
      </c>
    </row>
    <row r="42" ht="15" customHeight="1" s="33">
      <c r="A42" s="51" t="inlineStr">
        <is>
          <t>P12-03</t>
        </is>
      </c>
      <c r="B42" s="52" t="inlineStr">
        <is>
          <t>12</t>
        </is>
      </c>
      <c r="C42" s="51" t="inlineStr">
        <is>
          <t>Motor</t>
        </is>
      </c>
      <c r="D42" s="51" t="inlineStr">
        <is>
          <t>Productos con unidades marcados como "AGOTADO"</t>
        </is>
      </c>
      <c r="E42" s="51" t="inlineStr">
        <is>
          <t>Observación / defecto</t>
        </is>
      </c>
      <c r="F42" s="51" t="inlineStr">
        <is>
          <t>Terminado</t>
        </is>
      </c>
      <c r="G42" s="51" t="inlineStr">
        <is>
          <t>Media</t>
        </is>
      </c>
      <c r="H42" s="51" t="inlineStr">
        <is>
          <t>Resuelto con los niveles agotado/crítico/reponer/ok del plan 17.</t>
        </is>
      </c>
      <c r="I42" s="51" t="n"/>
      <c r="J42" s="51" t="n"/>
      <c r="K42" s="53" t="n">
        <v>46292</v>
      </c>
      <c r="L42" s="54">
        <f>IF(K42="","",TODAY()-K42)</f>
        <v/>
      </c>
    </row>
    <row r="43" ht="15" customHeight="1" s="33">
      <c r="A43" s="51" t="inlineStr">
        <is>
          <t>P12-04</t>
        </is>
      </c>
      <c r="B43" s="52" t="inlineStr">
        <is>
          <t>12</t>
        </is>
      </c>
      <c r="C43" s="51" t="inlineStr">
        <is>
          <t>Diseño</t>
        </is>
      </c>
      <c r="D43" s="51" t="inlineStr">
        <is>
          <t>La utilidad titular fija line-height 1 y junta los títulos de dos líneas</t>
        </is>
      </c>
      <c r="E43" s="51" t="inlineStr">
        <is>
          <t>Observación / defecto</t>
        </is>
      </c>
      <c r="F43" s="51" t="inlineStr">
        <is>
          <t>No iniciado</t>
        </is>
      </c>
      <c r="G43" s="51" t="inlineStr">
        <is>
          <t>Baja</t>
        </is>
      </c>
      <c r="H43" s="51" t="inlineStr">
        <is>
          <t>Plan 12, sección 5.</t>
        </is>
      </c>
      <c r="I43" s="51" t="inlineStr">
        <is>
          <t>Subir a 1,05 si molesta.</t>
        </is>
      </c>
      <c r="J43" s="51" t="n"/>
      <c r="K43" s="53" t="n">
        <v>46292</v>
      </c>
      <c r="L43" s="54">
        <f>IF(K43="","",TODAY()-K43)</f>
        <v/>
      </c>
    </row>
    <row r="44" ht="23.85" customHeight="1" s="33">
      <c r="A44" s="51" t="inlineStr">
        <is>
          <t>P13-01</t>
        </is>
      </c>
      <c r="B44" s="52" t="inlineStr">
        <is>
          <t>13</t>
        </is>
      </c>
      <c r="C44" s="51" t="inlineStr">
        <is>
          <t>Proveedores</t>
        </is>
      </c>
      <c r="D44" s="51" t="inlineStr">
        <is>
          <t>Máquina de estados formal en PATCH /api/ordenes/:id/estado (hoy solo rechaza "Completada" y acepta cualquier otro texto)</t>
        </is>
      </c>
      <c r="E44" s="51" t="inlineStr">
        <is>
          <t>Pendiente del plan</t>
        </is>
      </c>
      <c r="F44" s="51" t="inlineStr">
        <is>
          <t>Parcial</t>
        </is>
      </c>
      <c r="G44" s="51" t="inlineStr">
        <is>
          <t>Media</t>
        </is>
      </c>
      <c r="H44" s="51" t="inlineStr">
        <is>
          <t>Plan 13, secciones 10 y 13; suppliersController.updateOrderStatus.</t>
        </is>
      </c>
      <c r="I44" s="51" t="n"/>
      <c r="J44" s="51" t="n"/>
      <c r="K44" s="53" t="n">
        <v>46292</v>
      </c>
      <c r="L44" s="54">
        <f>IF(K44="","",TODAY()-K44)</f>
        <v/>
      </c>
    </row>
    <row r="45" ht="23.85" customHeight="1" s="33">
      <c r="A45" s="51" t="inlineStr">
        <is>
          <t>P14-01</t>
        </is>
      </c>
      <c r="B45" s="52" t="inlineStr">
        <is>
          <t>14</t>
        </is>
      </c>
      <c r="C45" s="51" t="inlineStr">
        <is>
          <t>UX</t>
        </is>
      </c>
      <c r="D45" s="51" t="inlineStr">
        <is>
          <t>Los avisos (toasts) tapan los botones de la esquina superior derecha durante unos 5 segundos</t>
        </is>
      </c>
      <c r="E45" s="51" t="inlineStr">
        <is>
          <t>Observación / defecto</t>
        </is>
      </c>
      <c r="F45" s="51" t="inlineStr">
        <is>
          <t>No iniciado</t>
        </is>
      </c>
      <c r="G45" s="51" t="inlineStr">
        <is>
          <t>Baja</t>
        </is>
      </c>
      <c r="H45" s="51" t="inlineStr">
        <is>
          <t>ToastContext.jsx: top 20 px, right 20 px.</t>
        </is>
      </c>
      <c r="I45" s="51" t="n"/>
      <c r="J45" s="51" t="n"/>
      <c r="K45" s="53" t="n">
        <v>46292</v>
      </c>
      <c r="L45" s="54">
        <f>IF(K45="","",TODAY()-K45)</f>
        <v/>
      </c>
    </row>
    <row r="46" ht="23.85" customHeight="1" s="33">
      <c r="A46" s="51" t="inlineStr">
        <is>
          <t>P14-02</t>
        </is>
      </c>
      <c r="B46" s="52" t="inlineStr">
        <is>
          <t>14</t>
        </is>
      </c>
      <c r="C46" s="51" t="inlineStr">
        <is>
          <t>Caja</t>
        </is>
      </c>
      <c r="D46" s="51" t="inlineStr">
        <is>
          <t>Si falla la consulta de la caja, el modal ofrece "Abrir caja" aunque haya un turno abierto</t>
        </is>
      </c>
      <c r="E46" s="51" t="inlineStr">
        <is>
          <t>Observación / defecto</t>
        </is>
      </c>
      <c r="F46" s="51" t="inlineStr">
        <is>
          <t>No iniciado</t>
        </is>
      </c>
      <c r="G46" s="51" t="inlineStr">
        <is>
          <t>Media</t>
        </is>
      </c>
      <c r="H46" s="51" t="inlineStr">
        <is>
          <t>Plan 14, observación 4.</t>
        </is>
      </c>
      <c r="I46" s="51" t="inlineStr">
        <is>
          <t>Distinguir "sin turno" de "no se pudo consultar".</t>
        </is>
      </c>
      <c r="J46" s="51" t="n"/>
      <c r="K46" s="53" t="n">
        <v>46292</v>
      </c>
      <c r="L46" s="54">
        <f>IF(K46="","",TODAY()-K46)</f>
        <v/>
      </c>
    </row>
    <row r="47" ht="15" customHeight="1" s="33">
      <c r="A47" s="51" t="inlineStr">
        <is>
          <t>P14-03</t>
        </is>
      </c>
      <c r="B47" s="52" t="inlineStr">
        <is>
          <t>14</t>
        </is>
      </c>
      <c r="C47" s="51" t="inlineStr">
        <is>
          <t>UX</t>
        </is>
      </c>
      <c r="D47" s="51" t="inlineStr">
        <is>
          <t>Avisos de error duplicados en desarrollo (React StrictMode)</t>
        </is>
      </c>
      <c r="E47" s="51" t="inlineStr">
        <is>
          <t>Observación / defecto</t>
        </is>
      </c>
      <c r="F47" s="51" t="inlineStr">
        <is>
          <t>Descartado</t>
        </is>
      </c>
      <c r="G47" s="51" t="inlineStr">
        <is>
          <t>Baja</t>
        </is>
      </c>
      <c r="H47" s="51" t="inlineStr">
        <is>
          <t>Solo pasa en desarrollo; en producción sale uno.</t>
        </is>
      </c>
      <c r="I47" s="51" t="n"/>
      <c r="J47" s="51" t="n"/>
      <c r="K47" s="53" t="n">
        <v>46292</v>
      </c>
      <c r="L47" s="54">
        <f>IF(K47="","",TODAY()-K47)</f>
        <v/>
      </c>
    </row>
    <row r="48" ht="23.85" customHeight="1" s="33">
      <c r="A48" s="51" t="inlineStr">
        <is>
          <t>P14-04</t>
        </is>
      </c>
      <c r="B48" s="52" t="inlineStr">
        <is>
          <t>14</t>
        </is>
      </c>
      <c r="C48" s="51" t="inlineStr">
        <is>
          <t>Git</t>
        </is>
      </c>
      <c r="D48" s="51" t="inlineStr">
        <is>
          <t>Subir a main las ramas del rediseño (fases 2 a 4)</t>
        </is>
      </c>
      <c r="E48" s="51" t="inlineStr">
        <is>
          <t>Pendiente del plan</t>
        </is>
      </c>
      <c r="F48" s="51" t="inlineStr">
        <is>
          <t>Terminado</t>
        </is>
      </c>
      <c r="G48" s="51" t="inlineStr">
        <is>
          <t>Media</t>
        </is>
      </c>
      <c r="H48" s="51" t="inlineStr">
        <is>
          <t>Merges en el historial de Git (feature/rediseno-visual, feature/rediseno-fase4, etc.).</t>
        </is>
      </c>
      <c r="I48" s="51" t="n"/>
      <c r="J48" s="51" t="n"/>
      <c r="K48" s="53" t="n">
        <v>46292</v>
      </c>
      <c r="L48" s="54">
        <f>IF(K48="","",TODAY()-K48)</f>
        <v/>
      </c>
    </row>
    <row r="49" ht="23.85" customHeight="1" s="33">
      <c r="A49" s="51" t="inlineStr">
        <is>
          <t>P15-01</t>
        </is>
      </c>
      <c r="B49" s="52" t="inlineStr">
        <is>
          <t>15</t>
        </is>
      </c>
      <c r="C49" s="51" t="inlineStr">
        <is>
          <t>Base de datos</t>
        </is>
      </c>
      <c r="D49" s="51" t="inlineStr">
        <is>
          <t>El esquema vive en dos lugares (init_pg.sql y la auto-migración de config/database.js), lo que produce brechas como la de Fiados</t>
        </is>
      </c>
      <c r="E49" s="51" t="inlineStr">
        <is>
          <t>Observación / defecto</t>
        </is>
      </c>
      <c r="F49" s="51" t="inlineStr">
        <is>
          <t>No iniciado</t>
        </is>
      </c>
      <c r="G49" s="51" t="inlineStr">
        <is>
          <t>Media</t>
        </is>
      </c>
      <c r="H49" s="51" t="inlineStr">
        <is>
          <t>Plan 15, sección 6.</t>
        </is>
      </c>
      <c r="I49" s="51" t="inlineStr">
        <is>
          <t>Incluido en el plan 21, R4.</t>
        </is>
      </c>
      <c r="J49" s="51" t="n"/>
      <c r="K49" s="53" t="n">
        <v>46292</v>
      </c>
      <c r="L49" s="54">
        <f>IF(K49="","",TODAY()-K49)</f>
        <v/>
      </c>
    </row>
    <row r="50" ht="23.85" customHeight="1" s="33">
      <c r="A50" s="51" t="inlineStr">
        <is>
          <t>P15-02</t>
        </is>
      </c>
      <c r="B50" s="52" t="inlineStr">
        <is>
          <t>15</t>
        </is>
      </c>
      <c r="C50" s="51" t="inlineStr">
        <is>
          <t>Base de datos</t>
        </is>
      </c>
      <c r="D50" s="51" t="inlineStr">
        <is>
          <t>init_pg.sql no podía crear una base nueva (dependencia circular Tienda ↔ Usuarios)</t>
        </is>
      </c>
      <c r="E50" s="51" t="inlineStr">
        <is>
          <t>Observación / defecto</t>
        </is>
      </c>
      <c r="F50" s="51" t="inlineStr">
        <is>
          <t>Terminado</t>
        </is>
      </c>
      <c r="G50" s="51" t="inlineStr">
        <is>
          <t>Media</t>
        </is>
      </c>
      <c r="H50" s="51" t="inlineStr">
        <is>
          <t>Corregido en el plan 20, sección 8.1.</t>
        </is>
      </c>
      <c r="I50" s="51" t="n"/>
      <c r="J50" s="51" t="n"/>
      <c r="K50" s="53" t="n">
        <v>46292</v>
      </c>
      <c r="L50" s="54">
        <f>IF(K50="","",TODAY()-K50)</f>
        <v/>
      </c>
    </row>
    <row r="51" ht="23.85" customHeight="1" s="33">
      <c r="A51" s="51" t="inlineStr">
        <is>
          <t>P16-01</t>
        </is>
      </c>
      <c r="B51" s="52" t="inlineStr">
        <is>
          <t>16</t>
        </is>
      </c>
      <c r="C51" s="51" t="inlineStr">
        <is>
          <t>IA</t>
        </is>
      </c>
      <c r="D51" s="51" t="inlineStr">
        <is>
          <t>"Aprendizaje de la IA" como lo proponía el documento original</t>
        </is>
      </c>
      <c r="E51" s="51" t="inlineStr">
        <is>
          <t>Pendiente del plan</t>
        </is>
      </c>
      <c r="F51" s="51" t="inlineStr">
        <is>
          <t>Descartado</t>
        </is>
      </c>
      <c r="G51" s="51" t="inlineStr">
        <is>
          <t>Baja</t>
        </is>
      </c>
      <c r="H51" s="51" t="inlineStr">
        <is>
          <t>Ya existe por otra vía: feedbackController + runDailyAIEvaluation (plan 16, sección 1).</t>
        </is>
      </c>
      <c r="I51" s="51" t="n"/>
      <c r="J51" s="51" t="n"/>
      <c r="K51" s="53" t="n">
        <v>46292</v>
      </c>
      <c r="L51" s="54">
        <f>IF(K51="","",TODAY()-K51)</f>
        <v/>
      </c>
    </row>
    <row r="52" ht="23.85" customHeight="1" s="33">
      <c r="A52" s="51" t="inlineStr">
        <is>
          <t>P16-02</t>
        </is>
      </c>
      <c r="B52" s="52" t="inlineStr">
        <is>
          <t>16</t>
        </is>
      </c>
      <c r="C52" s="51" t="inlineStr">
        <is>
          <t>Pruebas</t>
        </is>
      </c>
      <c r="D52" s="51" t="inlineStr">
        <is>
          <t>Pruebas de la recepción de mercancía: cantidad recibida igual, menor y mayor a la pedida</t>
        </is>
      </c>
      <c r="E52" s="51" t="inlineStr">
        <is>
          <t>Pendiente del plan</t>
        </is>
      </c>
      <c r="F52" s="51" t="inlineStr">
        <is>
          <t>No iniciado</t>
        </is>
      </c>
      <c r="G52" s="51" t="inlineStr">
        <is>
          <t>Media</t>
        </is>
      </c>
      <c r="H52" s="51" t="inlineStr">
        <is>
          <t>Plan 16, sección 6. No está entre los 7 flujos de integración del plan 20.</t>
        </is>
      </c>
      <c r="I52" s="51" t="inlineStr">
        <is>
          <t>Incluido en el plan 21, R0.</t>
        </is>
      </c>
      <c r="J52" s="51" t="n"/>
      <c r="K52" s="53" t="n">
        <v>46292</v>
      </c>
      <c r="L52" s="54">
        <f>IF(K52="","",TODAY()-K52)</f>
        <v/>
      </c>
    </row>
    <row r="53" ht="15" customHeight="1" s="33">
      <c r="A53" s="51" t="inlineStr">
        <is>
          <t>P17-01</t>
        </is>
      </c>
      <c r="B53" s="52" t="inlineStr">
        <is>
          <t>17</t>
        </is>
      </c>
      <c r="C53" s="51" t="inlineStr">
        <is>
          <t>Motor</t>
        </is>
      </c>
      <c r="D53" s="51" t="inlineStr">
        <is>
          <t>Consolidar las consultas de velocidad restantes</t>
        </is>
      </c>
      <c r="E53" s="51" t="inlineStr">
        <is>
          <t>Pendiente del plan</t>
        </is>
      </c>
      <c r="F53" s="51" t="inlineStr">
        <is>
          <t>Descartado</t>
        </is>
      </c>
      <c r="G53" s="51" t="inlineStr">
        <is>
          <t>Baja</t>
        </is>
      </c>
      <c r="H53" s="51" t="inlineStr">
        <is>
          <t>Plan 17, sección 8.7, fase 6: descartado por bajo beneficio.</t>
        </is>
      </c>
      <c r="I53" s="51" t="n"/>
      <c r="J53" s="51" t="n"/>
      <c r="K53" s="53" t="n">
        <v>46292</v>
      </c>
      <c r="L53" s="54">
        <f>IF(K53="","",TODAY()-K53)</f>
        <v/>
      </c>
    </row>
    <row r="54" ht="23.85" customHeight="1" s="33">
      <c r="A54" s="51" t="inlineStr">
        <is>
          <t>P17-02</t>
        </is>
      </c>
      <c r="B54" s="52" t="inlineStr">
        <is>
          <t>17</t>
        </is>
      </c>
      <c r="C54" s="51" t="inlineStr">
        <is>
          <t>Productos</t>
        </is>
      </c>
      <c r="D54" s="51" t="inlineStr">
        <is>
          <t>El código de barras es obligatorio en ProductFormModal y bloquea en silencio la edición de productos sin código</t>
        </is>
      </c>
      <c r="E54" s="51" t="inlineStr">
        <is>
          <t>Observación / defecto</t>
        </is>
      </c>
      <c r="F54" s="51" t="inlineStr">
        <is>
          <t>No iniciado</t>
        </is>
      </c>
      <c r="G54" s="51" t="inlineStr">
        <is>
          <t>Alta</t>
        </is>
      </c>
      <c r="H54" s="51" t="inlineStr">
        <is>
          <t>ProductFormModal.jsx, línea 344 (required). Plan 17, sección 8.8.</t>
        </is>
      </c>
      <c r="I54" s="51" t="inlineStr">
        <is>
          <t>Si hay productos reales sin código, no se pueden editar desde la interfaz.</t>
        </is>
      </c>
      <c r="J54" s="51" t="n"/>
      <c r="K54" s="53" t="n">
        <v>46292</v>
      </c>
      <c r="L54" s="54">
        <f>IF(K54="","",TODAY()-K54)</f>
        <v/>
      </c>
    </row>
    <row r="55" ht="15" customHeight="1" s="33">
      <c r="A55" s="51" t="inlineStr">
        <is>
          <t>P17-03</t>
        </is>
      </c>
      <c r="B55" s="52" t="inlineStr">
        <is>
          <t>17</t>
        </is>
      </c>
      <c r="C55" s="51" t="inlineStr">
        <is>
          <t>Git</t>
        </is>
      </c>
      <c r="D55" s="51" t="inlineStr">
        <is>
          <t>Probar manualmente y subir a main la unificación del motor de riesgo</t>
        </is>
      </c>
      <c r="E55" s="51" t="inlineStr">
        <is>
          <t>Pendiente del plan</t>
        </is>
      </c>
      <c r="F55" s="51" t="inlineStr">
        <is>
          <t>Terminado</t>
        </is>
      </c>
      <c r="G55" s="51" t="inlineStr">
        <is>
          <t>Alta</t>
        </is>
      </c>
      <c r="H55" s="51" t="inlineStr">
        <is>
          <t>Merge de feature/unificacion-motor-riesgo en el historial de Git.</t>
        </is>
      </c>
      <c r="I55" s="51" t="n"/>
      <c r="J55" s="51" t="n"/>
      <c r="K55" s="53" t="n">
        <v>46292</v>
      </c>
      <c r="L55" s="54">
        <f>IF(K55="","",TODAY()-K55)</f>
        <v/>
      </c>
    </row>
    <row r="56" ht="35.05" customHeight="1" s="33">
      <c r="A56" s="51" t="inlineStr">
        <is>
          <t>P18-01</t>
        </is>
      </c>
      <c r="B56" s="52" t="inlineStr">
        <is>
          <t>18</t>
        </is>
      </c>
      <c r="C56" s="51" t="inlineStr">
        <is>
          <t>Simulador</t>
        </is>
      </c>
      <c r="D56" s="51" t="inlineStr">
        <is>
          <t>Simulador de escenarios con el motor único de reposición (fases 1 a 4)</t>
        </is>
      </c>
      <c r="E56" s="51" t="inlineStr">
        <is>
          <t>Pendiente del plan</t>
        </is>
      </c>
      <c r="F56" s="51" t="inlineStr">
        <is>
          <t>Terminado</t>
        </is>
      </c>
      <c r="G56" s="51" t="inlineStr">
        <is>
          <t>Media</t>
        </is>
      </c>
      <c r="H56" s="51" t="inlineStr">
        <is>
          <t>calcularReposicion acepta diasCoberturaOverride, /api/ia/snapshot recibe ?dias=N, SimuladorPage.jsx usa cantidad_recomendada y la respuesta incluye categoria.</t>
        </is>
      </c>
      <c r="I56" s="51" t="n"/>
      <c r="J56" s="51" t="n"/>
      <c r="K56" s="53" t="n">
        <v>46292</v>
      </c>
      <c r="L56" s="54">
        <f>IF(K56="","",TODAY()-K56)</f>
        <v/>
      </c>
    </row>
    <row r="57" ht="23.85" customHeight="1" s="33">
      <c r="A57" s="51" t="inlineStr">
        <is>
          <t>P18-02</t>
        </is>
      </c>
      <c r="B57" s="52" t="inlineStr">
        <is>
          <t>18</t>
        </is>
      </c>
      <c r="C57" s="51" t="inlineStr">
        <is>
          <t>Documentación</t>
        </is>
      </c>
      <c r="D57" s="51" t="inlineStr">
        <is>
          <t>Actualizar el encabezado del plan 18: todavía dice "Propuesto, pendiente de confirmación"</t>
        </is>
      </c>
      <c r="E57" s="51" t="inlineStr">
        <is>
          <t>Mantenimiento de docs</t>
        </is>
      </c>
      <c r="F57" s="51" t="inlineStr">
        <is>
          <t>No iniciado</t>
        </is>
      </c>
      <c r="G57" s="51" t="inlineStr">
        <is>
          <t>Baja</t>
        </is>
      </c>
      <c r="H57" s="51" t="inlineStr">
        <is>
          <t>docs/planes/18_unificacion_simulador_motor_reposicion.md, línea 3.</t>
        </is>
      </c>
      <c r="I57" s="51" t="n"/>
      <c r="J57" s="51" t="n"/>
      <c r="K57" s="53" t="n">
        <v>46292</v>
      </c>
      <c r="L57" s="54">
        <f>IF(K57="","",TODAY()-K57)</f>
        <v/>
      </c>
    </row>
    <row r="58" ht="46.25" customHeight="1" s="33">
      <c r="A58" s="51" t="inlineStr">
        <is>
          <t>P19-01</t>
        </is>
      </c>
      <c r="B58" s="52" t="inlineStr">
        <is>
          <t>19</t>
        </is>
      </c>
      <c r="C58" s="51" t="inlineStr">
        <is>
          <t>Respaldos</t>
        </is>
      </c>
      <c r="D58" s="51" t="inlineStr">
        <is>
          <t>Respaldo diario con pg_dump (conserva 14)</t>
        </is>
      </c>
      <c r="E58" s="51" t="inlineStr">
        <is>
          <t>Pendiente del plan</t>
        </is>
      </c>
      <c r="F58" s="51" t="inlineStr">
        <is>
          <t>Parcial</t>
        </is>
      </c>
      <c r="G58" s="51" t="inlineStr">
        <is>
          <t>Alta</t>
        </is>
      </c>
      <c r="H58" s="51" t="inlineStr">
        <is>
          <t>utils/backup.js y cron de las 2:00 en schedulerService.js.</t>
        </is>
      </c>
      <c r="I58" s="51" t="inlineStr">
        <is>
          <t>Solo sirve en local: en Render gratuito el disco es temporal y el servidor se duerme. Desde el 3-oct no se programa en producción; lo reemplaza el workflow de GitHub Actions.</t>
        </is>
      </c>
      <c r="J58" s="51" t="n"/>
      <c r="K58" s="53" t="n">
        <v>46292</v>
      </c>
      <c r="L58" s="54">
        <f>IF(K58="","",TODAY()-K58)</f>
        <v/>
      </c>
    </row>
    <row r="59" ht="23.85" customHeight="1" s="33">
      <c r="A59" s="51" t="inlineStr">
        <is>
          <t>P19-02</t>
        </is>
      </c>
      <c r="B59" s="52" t="inlineStr">
        <is>
          <t>19</t>
        </is>
      </c>
      <c r="C59" s="51" t="inlineStr">
        <is>
          <t>Respaldos</t>
        </is>
      </c>
      <c r="D59" s="51" t="inlineStr">
        <is>
          <t>Copia de los respaldos en almacenamiento externo, verificar que pg_dump exista en Render y probar una restauración</t>
        </is>
      </c>
      <c r="E59" s="51" t="inlineStr">
        <is>
          <t>Pendiente del plan</t>
        </is>
      </c>
      <c r="F59" s="51" t="inlineStr">
        <is>
          <t>Terminado</t>
        </is>
      </c>
      <c r="G59" s="51" t="inlineStr">
        <is>
          <t>Alta</t>
        </is>
      </c>
      <c r="H59" s="51" t="inlineStr">
        <is>
          <t>.github/workflows/respaldo-neon.yml (diario, cifrado con gpg, 14 días de retención, postgres:18) y docs/restaurar_respaldo.md.</t>
        </is>
      </c>
      <c r="I59" s="51" t="inlineStr">
        <is>
          <t>Restauración verificada el 3-oct, según Luis.</t>
        </is>
      </c>
      <c r="J59" s="51" t="n"/>
      <c r="K59" s="53" t="n">
        <v>46292</v>
      </c>
      <c r="L59" s="54">
        <f>IF(K59="","",TODAY()-K59)</f>
        <v/>
      </c>
    </row>
    <row r="60" ht="35.05" customHeight="1" s="33">
      <c r="A60" s="51" t="inlineStr">
        <is>
          <t>P19-03</t>
        </is>
      </c>
      <c r="B60" s="52" t="inlineStr">
        <is>
          <t>19</t>
        </is>
      </c>
      <c r="C60" s="51" t="inlineStr">
        <is>
          <t>Legal</t>
        </is>
      </c>
      <c r="D60" s="51" t="inlineStr">
        <is>
          <t>Política de tratamiento de datos con aceptación obligatoria en el registro</t>
        </is>
      </c>
      <c r="E60" s="51" t="inlineStr">
        <is>
          <t>Pendiente del plan</t>
        </is>
      </c>
      <c r="F60" s="51" t="inlineStr">
        <is>
          <t>Por verificar</t>
        </is>
      </c>
      <c r="G60" s="51" t="inlineStr">
        <is>
          <t>Alta</t>
        </is>
      </c>
      <c r="H60" s="51" t="inlineStr">
        <is>
          <t>Implementada en código (PoliticaDatosPage.jsx, /politica-datos, fecha_aceptacion_politica_datos). Falta confirmar que esté desplegada en Render.</t>
        </is>
      </c>
      <c r="I60" s="51" t="n"/>
      <c r="J60" s="51" t="n"/>
      <c r="K60" s="53" t="n">
        <v>46292</v>
      </c>
      <c r="L60" s="54">
        <f>IF(K60="","",TODAY()-K60)</f>
        <v/>
      </c>
    </row>
    <row r="61" ht="23.85" customHeight="1" s="33">
      <c r="A61" s="51" t="inlineStr">
        <is>
          <t>P19-04</t>
        </is>
      </c>
      <c r="B61" s="52" t="inlineStr">
        <is>
          <t>19</t>
        </is>
      </c>
      <c r="C61" s="51" t="inlineStr">
        <is>
          <t>Legal</t>
        </is>
      </c>
      <c r="D61" s="51" t="inlineStr">
        <is>
          <t>Re-consentimiento si cambia la política y formulario de autoservicio para ejercer los derechos del titular</t>
        </is>
      </c>
      <c r="E61" s="51" t="inlineStr">
        <is>
          <t>Pendiente del plan</t>
        </is>
      </c>
      <c r="F61" s="51" t="inlineStr">
        <is>
          <t>No iniciado</t>
        </is>
      </c>
      <c r="G61" s="51" t="inlineStr">
        <is>
          <t>Baja</t>
        </is>
      </c>
      <c r="H61" s="51" t="inlineStr">
        <is>
          <t>Plan 19, sección 3.2 ("fuera de esta ronda").</t>
        </is>
      </c>
      <c r="I61" s="51" t="n"/>
      <c r="J61" s="51" t="n"/>
      <c r="K61" s="53" t="n">
        <v>46292</v>
      </c>
      <c r="L61" s="54">
        <f>IF(K61="","",TODAY()-K61)</f>
        <v/>
      </c>
    </row>
    <row r="62" ht="23.85" customHeight="1" s="33">
      <c r="A62" s="51" t="inlineStr">
        <is>
          <t>P19-05</t>
        </is>
      </c>
      <c r="B62" s="52" t="inlineStr">
        <is>
          <t>19</t>
        </is>
      </c>
      <c r="C62" s="51" t="inlineStr">
        <is>
          <t>Métricas</t>
        </is>
      </c>
      <c r="D62" s="51" t="inlineStr">
        <is>
          <t>Métrica de activación de la prueba gratuita (≥ 20 productos y ventas durante 7 días) con endpoint interno</t>
        </is>
      </c>
      <c r="E62" s="51" t="inlineStr">
        <is>
          <t>Pendiente del plan</t>
        </is>
      </c>
      <c r="F62" s="51" t="inlineStr">
        <is>
          <t>No iniciado</t>
        </is>
      </c>
      <c r="G62" s="51" t="inlineStr">
        <is>
          <t>Media</t>
        </is>
      </c>
      <c r="H62" s="51" t="inlineStr">
        <is>
          <t>Plan 19, sección 3.3. Diseño SQL listo.</t>
        </is>
      </c>
      <c r="I62" s="51" t="inlineStr">
        <is>
          <t>Construir cuando se prepare la convocatoria pública.</t>
        </is>
      </c>
      <c r="J62" s="51" t="n"/>
      <c r="K62" s="53" t="n">
        <v>46292</v>
      </c>
      <c r="L62" s="54">
        <f>IF(K62="","",TODAY()-K62)</f>
        <v/>
      </c>
    </row>
    <row r="63" ht="35.05" customHeight="1" s="33">
      <c r="A63" s="51" t="inlineStr">
        <is>
          <t>P19-06</t>
        </is>
      </c>
      <c r="B63" s="52" t="inlineStr">
        <is>
          <t>19</t>
        </is>
      </c>
      <c r="C63" s="51" t="inlineStr">
        <is>
          <t>Modo básico</t>
        </is>
      </c>
      <c r="D63" s="51" t="inlineStr">
        <is>
          <t>Modo básico, fases A a C: preferencia de modo, menú reducido y pantalla "¿Qué pido?" con recepción</t>
        </is>
      </c>
      <c r="E63" s="51" t="inlineStr">
        <is>
          <t>Pendiente del plan</t>
        </is>
      </c>
      <c r="F63" s="51" t="inlineStr">
        <is>
          <t>En progreso</t>
        </is>
      </c>
      <c r="G63" s="51" t="inlineStr">
        <is>
          <t>Alta</t>
        </is>
      </c>
      <c r="H63" s="51" t="inlineStr">
        <is>
          <t>Plan 19, sección 3.4; rama feat/modo-basico-web (subida al remoto, commits ce91ec7, e2e238a, 6aa9be3).</t>
        </is>
      </c>
      <c r="I63" s="51" t="inlineStr">
        <is>
          <t>Fases A, B y C implementadas y verificadas (pruebas, mutaciones y navegador). Falta: mezclar a main (la migración de modo_interfaz corre sola al desplegar), probar en celular y con un Administrador con 2FA.</t>
        </is>
      </c>
      <c r="J63" s="51" t="n"/>
      <c r="K63" s="53" t="n">
        <v>46301</v>
      </c>
      <c r="L63" s="54">
        <f>IF(K63="","",TODAY()-K63)</f>
        <v/>
      </c>
    </row>
    <row r="64" ht="35.05" customHeight="1" s="33">
      <c r="A64" s="51" t="inlineStr">
        <is>
          <t>P19-07</t>
        </is>
      </c>
      <c r="B64" s="52" t="inlineStr">
        <is>
          <t>19</t>
        </is>
      </c>
      <c r="C64" s="51" t="inlineStr">
        <is>
          <t>Modo básico</t>
        </is>
      </c>
      <c r="D64" s="51" t="inlineStr">
        <is>
          <t>Modo básico, fases D y E: permisos del colaborador sobre órdenes y catálogo simplificado</t>
        </is>
      </c>
      <c r="E64" s="51" t="inlineStr">
        <is>
          <t>Pendiente del plan</t>
        </is>
      </c>
      <c r="F64" s="51" t="inlineStr">
        <is>
          <t>No iniciado</t>
        </is>
      </c>
      <c r="G64" s="51" t="inlineStr">
        <is>
          <t>Baja</t>
        </is>
      </c>
      <c r="H64" s="51" t="inlineStr">
        <is>
          <t>Plan 19, sección 3.4.</t>
        </is>
      </c>
      <c r="I64" s="51" t="inlineStr">
        <is>
          <t>Después de la visita; solo si el piloto muestra que hacen falta. La fase C no las necesita (/pedir va solo para el Administrador).</t>
        </is>
      </c>
      <c r="J64" s="51" t="n"/>
      <c r="K64" s="53" t="n">
        <v>46301</v>
      </c>
      <c r="L64" s="54">
        <f>IF(K64="","",TODAY()-K64)</f>
        <v/>
      </c>
    </row>
    <row r="65" ht="23.85" customHeight="1" s="33">
      <c r="A65" s="51" t="inlineStr">
        <is>
          <t>P19-08</t>
        </is>
      </c>
      <c r="B65" s="52" t="inlineStr">
        <is>
          <t>19</t>
        </is>
      </c>
      <c r="C65" s="51" t="inlineStr">
        <is>
          <t>Convocatoria</t>
        </is>
      </c>
      <c r="D65" s="51" t="inlineStr">
        <is>
          <t>Pregunta de experiencia digital en el registro, invitación a compartir y encuesta corta de satisfacción</t>
        </is>
      </c>
      <c r="E65" s="51" t="inlineStr">
        <is>
          <t>Pendiente del plan</t>
        </is>
      </c>
      <c r="F65" s="51" t="inlineStr">
        <is>
          <t>No iniciado</t>
        </is>
      </c>
      <c r="G65" s="51" t="inlineStr">
        <is>
          <t>Media</t>
        </is>
      </c>
      <c r="H65" s="51" t="inlineStr">
        <is>
          <t>Plan 19, sección 3.5.</t>
        </is>
      </c>
      <c r="I65" s="51" t="inlineStr">
        <is>
          <t>Depende de la convocatoria pública.</t>
        </is>
      </c>
      <c r="J65" s="51" t="n"/>
      <c r="K65" s="53" t="n">
        <v>46292</v>
      </c>
      <c r="L65" s="54">
        <f>IF(K65="","",TODAY()-K65)</f>
        <v/>
      </c>
    </row>
    <row r="66" ht="23.85" customHeight="1" s="33">
      <c r="A66" s="51" t="inlineStr">
        <is>
          <t>P19-09</t>
        </is>
      </c>
      <c r="B66" s="52" t="inlineStr">
        <is>
          <t>19</t>
        </is>
      </c>
      <c r="C66" s="51" t="inlineStr">
        <is>
          <t>POS</t>
        </is>
      </c>
      <c r="D66" s="51" t="inlineStr">
        <is>
          <t>Botón "Descargar recibo (PDF)" y vista de factura individual desde el historial</t>
        </is>
      </c>
      <c r="E66" s="51" t="inlineStr">
        <is>
          <t>Pendiente del plan</t>
        </is>
      </c>
      <c r="F66" s="51" t="inlineStr">
        <is>
          <t>No iniciado</t>
        </is>
      </c>
      <c r="G66" s="51" t="inlineStr">
        <is>
          <t>Media</t>
        </is>
      </c>
      <c r="H66" s="51" t="inlineStr">
        <is>
          <t>Plan 19, sección 3.6. Reutiliza pdfkit.</t>
        </is>
      </c>
      <c r="I66" s="51" t="n"/>
      <c r="J66" s="51" t="n"/>
      <c r="K66" s="53" t="n">
        <v>46292</v>
      </c>
      <c r="L66" s="54">
        <f>IF(K66="","",TODAY()-K66)</f>
        <v/>
      </c>
    </row>
    <row r="67" ht="35.05" customHeight="1" s="33">
      <c r="A67" s="51" t="inlineStr">
        <is>
          <t>P19-10</t>
        </is>
      </c>
      <c r="B67" s="52" t="inlineStr">
        <is>
          <t>19</t>
        </is>
      </c>
      <c r="C67" s="51" t="inlineStr">
        <is>
          <t>Métricas</t>
        </is>
      </c>
      <c r="D67" s="51" t="inlineStr">
        <is>
          <t>El SQL de la métrica de activación usa Tienda.fecha_creacion, una columna que no existe</t>
        </is>
      </c>
      <c r="E67" s="51" t="inlineStr">
        <is>
          <t>Observación / defecto</t>
        </is>
      </c>
      <c r="F67" s="51" t="inlineStr">
        <is>
          <t>No iniciado</t>
        </is>
      </c>
      <c r="G67" s="51" t="inlineStr">
        <is>
          <t>Media</t>
        </is>
      </c>
      <c r="H67" s="51" t="inlineStr">
        <is>
          <t>Plan 19, sección 3.3, frente a database/init_pg.sql (Tienda no tiene ninguna fecha).</t>
        </is>
      </c>
      <c r="I67" s="51" t="inlineStr">
        <is>
          <t>Se corrige en el plan 22, fase I1 (columna nueva y relleno con la fecha de registro más antigua de sus usuarios).</t>
        </is>
      </c>
      <c r="J67" s="51" t="n"/>
      <c r="K67" s="53" t="n">
        <v>46293</v>
      </c>
      <c r="L67" s="54">
        <f>IF(K67="","",TODAY()-K67)</f>
        <v/>
      </c>
    </row>
    <row r="68" ht="23.85" customHeight="1" s="33">
      <c r="A68" s="51" t="inlineStr">
        <is>
          <t>P20-01</t>
        </is>
      </c>
      <c r="B68" s="52" t="inlineStr">
        <is>
          <t>20</t>
        </is>
      </c>
      <c r="C68" s="51" t="inlineStr">
        <is>
          <t>Base de datos</t>
        </is>
      </c>
      <c r="D68" s="51" t="inlineStr">
        <is>
          <t>La auto-migración de config/database.js corre en cada require contra cualquier DATABASE_URL, sin protección</t>
        </is>
      </c>
      <c r="E68" s="51" t="inlineStr">
        <is>
          <t>Observación / defecto</t>
        </is>
      </c>
      <c r="F68" s="51" t="inlineStr">
        <is>
          <t>No iniciado</t>
        </is>
      </c>
      <c r="G68" s="51" t="inlineStr">
        <is>
          <t>Alta</t>
        </is>
      </c>
      <c r="H68" s="51" t="inlineStr">
        <is>
          <t>Plan 20, sección 8.3.</t>
        </is>
      </c>
      <c r="I68" s="51" t="inlineStr">
        <is>
          <t>Incluido en el plan 21, R4.</t>
        </is>
      </c>
      <c r="J68" s="51" t="n"/>
      <c r="K68" s="53" t="n">
        <v>46292</v>
      </c>
      <c r="L68" s="54">
        <f>IF(K68="","",TODAY()-K68)</f>
        <v/>
      </c>
    </row>
    <row r="69" ht="23.85" customHeight="1" s="33">
      <c r="A69" s="51" t="inlineStr">
        <is>
          <t>P20-02</t>
        </is>
      </c>
      <c r="B69" s="52" t="inlineStr">
        <is>
          <t>20</t>
        </is>
      </c>
      <c r="C69" s="51" t="inlineStr">
        <is>
          <t>Caja</t>
        </is>
      </c>
      <c r="D69" s="51" t="inlineStr">
        <is>
          <t>La apertura de caja hace SELECT y después INSERT sin transacción (carrera posible, no reproducida)</t>
        </is>
      </c>
      <c r="E69" s="51" t="inlineStr">
        <is>
          <t>Observación / defecto</t>
        </is>
      </c>
      <c r="F69" s="51" t="inlineStr">
        <is>
          <t>No iniciado</t>
        </is>
      </c>
      <c r="G69" s="51" t="inlineStr">
        <is>
          <t>Media</t>
        </is>
      </c>
      <c r="H69" s="51" t="inlineStr">
        <is>
          <t>Plan 20, sección 8.8.</t>
        </is>
      </c>
      <c r="I69" s="51" t="inlineStr">
        <is>
          <t>Incluido en el plan 21, R2 (services/caja.js).</t>
        </is>
      </c>
      <c r="J69" s="51" t="n"/>
      <c r="K69" s="53" t="n">
        <v>46292</v>
      </c>
      <c r="L69" s="54">
        <f>IF(K69="","",TODAY()-K69)</f>
        <v/>
      </c>
    </row>
    <row r="70" ht="35.05" customHeight="1" s="33">
      <c r="A70" s="51" t="inlineStr">
        <is>
          <t>P20-03</t>
        </is>
      </c>
      <c r="B70" s="52" t="inlineStr">
        <is>
          <t>20</t>
        </is>
      </c>
      <c r="C70" s="51" t="inlineStr">
        <is>
          <t>Pruebas</t>
        </is>
      </c>
      <c r="D70" s="51" t="inlineStr">
        <is>
          <t>Pruebas para los bloques que siguen excluidos de la cobertura: evaluación de órdenes de la IA, dryRun/resolve/getStats de alertas y validateRegister/validateReport</t>
        </is>
      </c>
      <c r="E70" s="51" t="inlineStr">
        <is>
          <t>Pendiente del plan</t>
        </is>
      </c>
      <c r="F70" s="51" t="inlineStr">
        <is>
          <t>No iniciado</t>
        </is>
      </c>
      <c r="G70" s="51" t="inlineStr">
        <is>
          <t>Media</t>
        </is>
      </c>
      <c r="H70" s="51" t="inlineStr">
        <is>
          <t>Bloques /* v8 ignore */ en feedbackController.js, models/Alert.js y middleware/validation.js, cada uno con su justificación.</t>
        </is>
      </c>
      <c r="I70" s="51" t="n"/>
      <c r="J70" s="51" t="n"/>
      <c r="K70" s="53" t="n">
        <v>46292</v>
      </c>
      <c r="L70" s="54">
        <f>IF(K70="","",TODAY()-K70)</f>
        <v/>
      </c>
    </row>
    <row r="71" ht="15" customHeight="1" s="33">
      <c r="A71" s="51" t="inlineStr">
        <is>
          <t>P20-04</t>
        </is>
      </c>
      <c r="B71" s="52" t="inlineStr">
        <is>
          <t>20</t>
        </is>
      </c>
      <c r="C71" s="51" t="inlineStr">
        <is>
          <t>Pruebas</t>
        </is>
      </c>
      <c r="D71" s="51" t="inlineStr">
        <is>
          <t>Subir los thresholds de cobertura a medida que se agreguen pruebas</t>
        </is>
      </c>
      <c r="E71" s="51" t="inlineStr">
        <is>
          <t>Pendiente del plan</t>
        </is>
      </c>
      <c r="F71" s="51" t="inlineStr">
        <is>
          <t>No iniciado</t>
        </is>
      </c>
      <c r="G71" s="51" t="inlineStr">
        <is>
          <t>Baja</t>
        </is>
      </c>
      <c r="H71" s="51" t="inlineStr">
        <is>
          <t>vitest.config.js (hoy 10/15/19/9).</t>
        </is>
      </c>
      <c r="I71" s="51" t="inlineStr">
        <is>
          <t>Tarea continua.</t>
        </is>
      </c>
      <c r="J71" s="51" t="n"/>
      <c r="K71" s="53" t="n">
        <v>46292</v>
      </c>
      <c r="L71" s="54">
        <f>IF(K71="","",TODAY()-K71)</f>
        <v/>
      </c>
    </row>
    <row r="72" ht="23.85" customHeight="1" s="33">
      <c r="A72" s="51" t="inlineStr">
        <is>
          <t>P20-05</t>
        </is>
      </c>
      <c r="B72" s="52" t="inlineStr">
        <is>
          <t>20</t>
        </is>
      </c>
      <c r="C72" s="51" t="inlineStr">
        <is>
          <t>Pruebas</t>
        </is>
      </c>
      <c r="D72" s="51" t="inlineStr">
        <is>
          <t>Prueba del límite de fuerza bruta del login (10 intentos fallidos en 15 minutos)</t>
        </is>
      </c>
      <c r="E72" s="51" t="inlineStr">
        <is>
          <t>Observación / defecto</t>
        </is>
      </c>
      <c r="F72" s="51" t="inlineStr">
        <is>
          <t>No iniciado</t>
        </is>
      </c>
      <c r="G72" s="51" t="inlineStr">
        <is>
          <t>Baja</t>
        </is>
      </c>
      <c r="H72" s="51" t="inlineStr">
        <is>
          <t>Plan 20, sección 8.6.</t>
        </is>
      </c>
      <c r="I72" s="51" t="n"/>
      <c r="J72" s="51" t="n"/>
      <c r="K72" s="53" t="n">
        <v>46292</v>
      </c>
      <c r="L72" s="54">
        <f>IF(K72="","",TODAY()-K72)</f>
        <v/>
      </c>
    </row>
    <row r="73" ht="23.85" customHeight="1" s="33">
      <c r="A73" s="51" t="inlineStr">
        <is>
          <t>P20-06</t>
        </is>
      </c>
      <c r="B73" s="52" t="inlineStr">
        <is>
          <t>20</t>
        </is>
      </c>
      <c r="C73" s="51" t="inlineStr">
        <is>
          <t>Documentación</t>
        </is>
      </c>
      <c r="D73" s="51" t="inlineStr">
        <is>
          <t>Actualizar la sección 6 del plan 20: todavía dice que la rama no se ha subido ni mezclado a main</t>
        </is>
      </c>
      <c r="E73" s="51" t="inlineStr">
        <is>
          <t>Mantenimiento de docs</t>
        </is>
      </c>
      <c r="F73" s="51" t="inlineStr">
        <is>
          <t>No iniciado</t>
        </is>
      </c>
      <c r="G73" s="51" t="inlineStr">
        <is>
          <t>Baja</t>
        </is>
      </c>
      <c r="H73" s="51" t="inlineStr">
        <is>
          <t>docs/planes/20_cobertura_real_backend.md, sección 6.</t>
        </is>
      </c>
      <c r="I73" s="51" t="n"/>
      <c r="J73" s="51" t="n"/>
      <c r="K73" s="53" t="n">
        <v>46292</v>
      </c>
      <c r="L73" s="54">
        <f>IF(K73="","",TODAY()-K73)</f>
        <v/>
      </c>
    </row>
    <row r="74" ht="35.05" customHeight="1" s="33">
      <c r="A74" s="51" t="inlineStr">
        <is>
          <t>P21-01</t>
        </is>
      </c>
      <c r="B74" s="52" t="inlineStr">
        <is>
          <t>21</t>
        </is>
      </c>
      <c r="C74" s="51" t="inlineStr">
        <is>
          <t>Refactorización</t>
        </is>
      </c>
      <c r="D74" s="51" t="inlineStr">
        <is>
          <t>R0: pruebas de caracterización de IA, proveedores, autenticación y productos</t>
        </is>
      </c>
      <c r="E74" s="51" t="inlineStr">
        <is>
          <t>Pendiente del plan</t>
        </is>
      </c>
      <c r="F74" s="51" t="inlineStr">
        <is>
          <t>Terminado</t>
        </is>
      </c>
      <c r="G74" s="51" t="inlineStr">
        <is>
          <t>Alta</t>
        </is>
      </c>
      <c r="H74" s="51" t="inlineStr">
        <is>
          <t>Mezclada en main y subida el 28-sep (merge 2e523dc): 48 pruebas de caracterización y 2 de guardia. Cobertura combinada ≈35 % → ≈56 % (npm run test:coverage:combinada).</t>
        </is>
      </c>
      <c r="I74" s="51" t="n"/>
      <c r="J74" s="51" t="n"/>
      <c r="K74" s="53" t="n">
        <v>46292</v>
      </c>
      <c r="L74" s="54">
        <f>IF(K74="","",TODAY()-K74)</f>
        <v/>
      </c>
    </row>
    <row r="75" ht="23.85" customHeight="1" s="33">
      <c r="A75" s="51" t="inlineStr">
        <is>
          <t>P21-02</t>
        </is>
      </c>
      <c r="B75" s="52" t="inlineStr">
        <is>
          <t>21</t>
        </is>
      </c>
      <c r="C75" s="51" t="inlineStr">
        <is>
          <t>Refactorización</t>
        </is>
      </c>
      <c r="D75" s="51" t="inlineStr">
        <is>
          <t>R1: services/ia/ y cliente único de OpenAI (base del ia-service del Sprint 6.3)</t>
        </is>
      </c>
      <c r="E75" s="51" t="inlineStr">
        <is>
          <t>Pendiente del plan</t>
        </is>
      </c>
      <c r="F75" s="51" t="inlineStr">
        <is>
          <t>Terminado</t>
        </is>
      </c>
      <c r="G75" s="51" t="inlineStr">
        <is>
          <t>Alta</t>
        </is>
      </c>
      <c r="H75" s="51" t="inlineStr">
        <is>
          <t>Rama refactor/R1-servicios-ia (subida) y merge --no-ff a main local el 8-oct. aiController 901 → 152 líneas; cliente único de OpenAI; services/ia/ con 14 módulos. 365 unitarias + 431 de integración en verde; cobertura combinada 73,5 %. Plan 21, «R1 — Resultados».</t>
        </is>
      </c>
      <c r="I75" s="51" t="inlineStr">
        <is>
          <t>Aprobada por Luis el 8-oct. origin/main NO se actualizó: main local tiene 5 commits previos sin subir (incluye el 2FA en CRUD) y subirlo podría desplegar durante el congelamiento. Se despliega después del piloto.</t>
        </is>
      </c>
      <c r="J75" s="51" t="inlineStr">
        <is>
          <t>Agente (Claude Code)</t>
        </is>
      </c>
      <c r="K75" s="53" t="n">
        <v>46303</v>
      </c>
      <c r="L75" s="54">
        <f>IF(K75="","",TODAY()-K75)</f>
        <v/>
      </c>
    </row>
    <row r="76" ht="23.85" customHeight="1" s="33">
      <c r="A76" s="51" t="inlineStr">
        <is>
          <t>P21-03</t>
        </is>
      </c>
      <c r="B76" s="52" t="inlineStr">
        <is>
          <t>21</t>
        </is>
      </c>
      <c r="C76" s="51" t="inlineStr">
        <is>
          <t>Refactorización</t>
        </is>
      </c>
      <c r="D76" s="51" t="inlineStr">
        <is>
          <t>R2: eventos de inventario y servicios de dominio (proveedores, auth, productos, caja)</t>
        </is>
      </c>
      <c r="E76" s="51" t="inlineStr">
        <is>
          <t>Pendiente del plan</t>
        </is>
      </c>
      <c r="F76" s="51" t="inlineStr">
        <is>
          <t>No iniciado</t>
        </is>
      </c>
      <c r="G76" s="51" t="inlineStr">
        <is>
          <t>Media</t>
        </is>
      </c>
      <c r="H76" s="51" t="inlineStr">
        <is>
          <t>Plan 21, sección 4.</t>
        </is>
      </c>
      <c r="I76" s="51" t="inlineStr">
        <is>
          <t>Antes de R2, caracterizar también las ramas de error de cada endpoint (lección de R1). suppliersController es hoy el controlador más grande (632 líneas) y conserva el prompt de generateSmartOrder.</t>
        </is>
      </c>
      <c r="J76" s="51" t="n"/>
      <c r="K76" s="53" t="n">
        <v>46303</v>
      </c>
      <c r="L76" s="54">
        <f>IF(K76="","",TODAY()-K76)</f>
        <v/>
      </c>
    </row>
    <row r="77" ht="23.85" customHeight="1" s="33">
      <c r="A77" s="51" t="inlineStr">
        <is>
          <t>P21-04</t>
        </is>
      </c>
      <c r="B77" s="52" t="inlineStr">
        <is>
          <t>21</t>
        </is>
      </c>
      <c r="C77" s="51" t="inlineStr">
        <is>
          <t>Refactorización</t>
        </is>
      </c>
      <c r="D77" s="51" t="inlineStr">
        <is>
          <t>R3: hooks y descomposición del frontend, empezando por DashboardPage</t>
        </is>
      </c>
      <c r="E77" s="51" t="inlineStr">
        <is>
          <t>Pendiente del plan</t>
        </is>
      </c>
      <c r="F77" s="51" t="inlineStr">
        <is>
          <t>No iniciado</t>
        </is>
      </c>
      <c r="G77" s="51" t="inlineStr">
        <is>
          <t>Media</t>
        </is>
      </c>
      <c r="H77" s="51" t="inlineStr">
        <is>
          <t>Plan 21, sección 4.</t>
        </is>
      </c>
      <c r="I77" s="51" t="inlineStr">
        <is>
          <t>Después del piloto. El modo básico (plan 19, fases A a C) no depende de R3.1.</t>
        </is>
      </c>
      <c r="J77" s="51" t="n"/>
      <c r="K77" s="53" t="n">
        <v>46301</v>
      </c>
      <c r="L77" s="54">
        <f>IF(K77="","",TODAY()-K77)</f>
        <v/>
      </c>
    </row>
    <row r="78" ht="23.85" customHeight="1" s="33">
      <c r="A78" s="51" t="inlineStr">
        <is>
          <t>P21-05</t>
        </is>
      </c>
      <c r="B78" s="52" t="inlineStr">
        <is>
          <t>21</t>
        </is>
      </c>
      <c r="C78" s="51" t="inlineStr">
        <is>
          <t>Refactorización</t>
        </is>
      </c>
      <c r="D78" s="51" t="inlineStr">
        <is>
          <t>R4: limpieza (migración explícita, estilo de controladores, console.* → logger)</t>
        </is>
      </c>
      <c r="E78" s="51" t="inlineStr">
        <is>
          <t>Pendiente del plan</t>
        </is>
      </c>
      <c r="F78" s="51" t="inlineStr">
        <is>
          <t>No iniciado</t>
        </is>
      </c>
      <c r="G78" s="51" t="inlineStr">
        <is>
          <t>Baja</t>
        </is>
      </c>
      <c r="H78" s="51" t="inlineStr">
        <is>
          <t>Plan 21, sección 4.</t>
        </is>
      </c>
      <c r="I78" s="51" t="inlineStr">
        <is>
          <t>Al 8-oct quedan 164 console.* en el backend (authController 24, schedulerService 15, saleController 12, productController 12, app.js 12…). R1 limpió aiController, services/ia, services/inventory y suppliersController. Incluir mover ai_audit.log de la raíz a logs/.</t>
        </is>
      </c>
      <c r="J78" s="51" t="n"/>
      <c r="K78" s="53" t="n">
        <v>46303</v>
      </c>
      <c r="L78" s="54">
        <f>IF(K78="","",TODAY()-K78)</f>
        <v/>
      </c>
    </row>
    <row r="79" ht="23.85" customHeight="1" s="33">
      <c r="A79" s="51" t="inlineStr">
        <is>
          <t>P21-06</t>
        </is>
      </c>
      <c r="B79" s="52" t="inlineStr">
        <is>
          <t>21</t>
        </is>
      </c>
      <c r="C79" s="51" t="inlineStr">
        <is>
          <t>Tiempo real</t>
        </is>
      </c>
      <c r="D79" s="51" t="inlineStr">
        <is>
          <t>Decidir el transporte de las alertas en tiempo real: SSE (recomendado) o Socket.io</t>
        </is>
      </c>
      <c r="E79" s="51" t="inlineStr">
        <is>
          <t>Decisión pendiente</t>
        </is>
      </c>
      <c r="F79" s="51" t="inlineStr">
        <is>
          <t>No iniciado</t>
        </is>
      </c>
      <c r="G79" s="51" t="inlineStr">
        <is>
          <t>Alta</t>
        </is>
      </c>
      <c r="H79" s="51" t="inlineStr">
        <is>
          <t>Plan 21, secciones 5.2 y 8.</t>
        </is>
      </c>
      <c r="I79" s="51" t="inlineStr">
        <is>
          <t>Replantear después del piloto: para la app nativa, notificaciones push; SSE para la web.</t>
        </is>
      </c>
      <c r="J79" s="51" t="n"/>
      <c r="K79" s="53" t="n">
        <v>46292</v>
      </c>
      <c r="L79" s="54">
        <f>IF(K79="","",TODAY()-K79)</f>
        <v/>
      </c>
    </row>
    <row r="80" ht="23.85" customHeight="1" s="33">
      <c r="A80" s="51" t="inlineStr">
        <is>
          <t>P21-07</t>
        </is>
      </c>
      <c r="B80" s="52" t="inlineStr">
        <is>
          <t>21</t>
        </is>
      </c>
      <c r="C80" s="51" t="inlineStr">
        <is>
          <t>Tiempo real</t>
        </is>
      </c>
      <c r="D80" s="51" t="inlineStr">
        <is>
          <t>T1 y T2: canal interno, endpoint /api/eventos y hook del frontend que reemplaza las consultas periódicas</t>
        </is>
      </c>
      <c r="E80" s="51" t="inlineStr">
        <is>
          <t>Pendiente del plan</t>
        </is>
      </c>
      <c r="F80" s="51" t="inlineStr">
        <is>
          <t>No iniciado</t>
        </is>
      </c>
      <c r="G80" s="51" t="inlineStr">
        <is>
          <t>Media</t>
        </is>
      </c>
      <c r="H80" s="51" t="inlineStr">
        <is>
          <t>Plan 21, sección 5.3.</t>
        </is>
      </c>
      <c r="I80" s="51" t="inlineStr">
        <is>
          <t>Después del piloto, replanteado (ver la fila de la decisión de transporte).</t>
        </is>
      </c>
      <c r="J80" s="51" t="n"/>
      <c r="K80" s="53" t="n">
        <v>46292</v>
      </c>
      <c r="L80" s="54">
        <f>IF(K80="","",TODAY()-K80)</f>
        <v/>
      </c>
    </row>
    <row r="81" ht="15" customHeight="1" s="33">
      <c r="A81" s="51" t="inlineStr">
        <is>
          <t>P21-08</t>
        </is>
      </c>
      <c r="B81" s="52" t="inlineStr">
        <is>
          <t>21</t>
        </is>
      </c>
      <c r="C81" s="51" t="inlineStr">
        <is>
          <t>Tiempo real</t>
        </is>
      </c>
      <c r="D81" s="51" t="inlineStr">
        <is>
          <t>T3: Redis pub/sub (o LISTEN/NOTIFY) y Nginx para varias réplicas</t>
        </is>
      </c>
      <c r="E81" s="51" t="inlineStr">
        <is>
          <t>Pendiente del plan</t>
        </is>
      </c>
      <c r="F81" s="51" t="inlineStr">
        <is>
          <t>No iniciado</t>
        </is>
      </c>
      <c r="G81" s="51" t="inlineStr">
        <is>
          <t>Media</t>
        </is>
      </c>
      <c r="H81" s="51" t="inlineStr">
        <is>
          <t>Plan 21, sección 5.3.</t>
        </is>
      </c>
      <c r="I81" s="51" t="inlineStr">
        <is>
          <t>Junto con el Sprint 6 de Bases de Datos Avanzadas.</t>
        </is>
      </c>
      <c r="J81" s="51" t="n"/>
      <c r="K81" s="53" t="n">
        <v>46292</v>
      </c>
      <c r="L81" s="54">
        <f>IF(K81="","",TODAY()-K81)</f>
        <v/>
      </c>
    </row>
    <row r="82" ht="23.85" customHeight="1" s="33">
      <c r="A82" s="51" t="inlineStr">
        <is>
          <t>P21-09</t>
        </is>
      </c>
      <c r="B82" s="52" t="inlineStr">
        <is>
          <t>21</t>
        </is>
      </c>
      <c r="C82" s="51" t="inlineStr">
        <is>
          <t>Seguridad</t>
        </is>
      </c>
      <c r="D82" s="51" t="inlineStr">
        <is>
          <t>/api/verify-reset-code no tiene limitador propio: el código de 6 dígitos solo queda cubierto por el límite global (600 cada 15 min)</t>
        </is>
      </c>
      <c r="E82" s="51" t="inlineStr">
        <is>
          <t>Observación / defecto</t>
        </is>
      </c>
      <c r="F82" s="51" t="inlineStr">
        <is>
          <t>Terminado</t>
        </is>
      </c>
      <c r="G82" s="51" t="inlineStr">
        <is>
          <t>Alta</t>
        </is>
      </c>
      <c r="H82" s="51" t="inlineStr">
        <is>
          <t>routes/authRoutes.js:25; app.js solo limita forgot-password y reset-password. Caracterizado en autenticacion_flujos.test.js (R0).</t>
        </is>
      </c>
      <c r="I82" s="51" t="inlineStr">
        <is>
          <t>Mezclado en main (commit c0a65c3, merge cb028d9).</t>
        </is>
      </c>
      <c r="J82" s="51" t="n"/>
      <c r="K82" s="53" t="n">
        <v>46301</v>
      </c>
      <c r="L82" s="54">
        <f>IF(K82="","",TODAY()-K82)</f>
        <v/>
      </c>
    </row>
    <row r="83" ht="35.05" customHeight="1" s="33">
      <c r="A83" s="51" t="inlineStr">
        <is>
          <t>P21-10</t>
        </is>
      </c>
      <c r="B83" s="52" t="inlineStr">
        <is>
          <t>21</t>
        </is>
      </c>
      <c r="C83" s="51" t="inlineStr">
        <is>
          <t>Proveedores</t>
        </is>
      </c>
      <c r="D83" s="51" t="inlineStr">
        <is>
          <t>Recepción de mercancía sin tope: completarRecepcion acepta más unidades de las pedidas, y recibir menos cierra la orden sin dejar el faltante pendiente</t>
        </is>
      </c>
      <c r="E83" s="51" t="inlineStr">
        <is>
          <t>Observación / defecto</t>
        </is>
      </c>
      <c r="F83" s="51" t="inlineStr">
        <is>
          <t>No iniciado</t>
        </is>
      </c>
      <c r="G83" s="51" t="inlineStr">
        <is>
          <t>Media</t>
        </is>
      </c>
      <c r="H83" s="51" t="inlineStr">
        <is>
          <t>controllers/suppliersController.js (completarRecepcion). Caracterizado en proveedores_flujo.test.js (R0).</t>
        </is>
      </c>
      <c r="I83" s="51" t="inlineStr">
        <is>
          <t>Decidir si se bloquea, se pide confirmación o se deja registro del faltante.</t>
        </is>
      </c>
      <c r="J83" s="51" t="n"/>
      <c r="K83" s="53" t="n">
        <v>46292</v>
      </c>
      <c r="L83" s="54">
        <f>IF(K83="","",TODAY()-K83)</f>
        <v/>
      </c>
    </row>
    <row r="84" ht="46.25" customHeight="1" s="33">
      <c r="A84" s="51" t="inlineStr">
        <is>
          <t>P21-11</t>
        </is>
      </c>
      <c r="B84" s="52" t="inlineStr">
        <is>
          <t>21</t>
        </is>
      </c>
      <c r="C84" s="51" t="inlineStr">
        <is>
          <t>Pruebas</t>
        </is>
      </c>
      <c r="D84" s="51" t="inlineStr">
        <is>
          <t>Los limitadores de peticiones comparten contador entre archivos de prueba: TRUNCATE … RESTART IDENTITY reutiliza user_1 y todas las peticiones sin sesión salen de la misma IP; con la suite creciendo puede aparecer un 429 intermitente</t>
        </is>
      </c>
      <c r="E84" s="51" t="inlineStr">
        <is>
          <t>Observación / defecto</t>
        </is>
      </c>
      <c r="F84" s="51" t="inlineStr">
        <is>
          <t>Terminado</t>
        </is>
      </c>
      <c r="G84" s="51" t="inlineStr">
        <is>
          <t>Baja</t>
        </is>
      </c>
      <c r="H84" s="51" t="inlineStr">
        <is>
          <t>Medido sin reinicio: global 242/600 sobre user_1, auth 7/10. tests/integration/helpers/limitadores.js reinicia los MemoryStore al comienzo de cada archivo (pico por archivo: 48/600 y 5/10); guardia limitadores_reinicio.test.js.</t>
        </is>
      </c>
      <c r="I84" s="51" t="inlineStr">
        <is>
          <t>Mezclado en main con R0 el 28-sep.</t>
        </is>
      </c>
      <c r="J84" s="51" t="n"/>
      <c r="K84" s="53" t="n">
        <v>46292</v>
      </c>
      <c r="L84" s="54">
        <f>IF(K84="","",TODAY()-K84)</f>
        <v/>
      </c>
    </row>
    <row r="85" ht="23.85" customHeight="1" s="33">
      <c r="A85" s="51" t="inlineStr">
        <is>
          <t>P21-12</t>
        </is>
      </c>
      <c r="B85" s="52" t="inlineStr">
        <is>
          <t>21</t>
        </is>
      </c>
      <c r="C85" s="51" t="inlineStr">
        <is>
          <t>Refactorización</t>
        </is>
      </c>
      <c r="D85" s="51" t="inlineStr">
        <is>
          <t>Código muerto: el chequeo !req.file de bulkUpload nunca se alcanza por esa ruta (validateFileType responde antes)</t>
        </is>
      </c>
      <c r="E85" s="51" t="inlineStr">
        <is>
          <t>Observación / defecto</t>
        </is>
      </c>
      <c r="F85" s="51" t="inlineStr">
        <is>
          <t>No iniciado</t>
        </is>
      </c>
      <c r="G85" s="51" t="inlineStr">
        <is>
          <t>Baja</t>
        </is>
      </c>
      <c r="H85" s="51" t="inlineStr">
        <is>
          <t>Caracterizado en productos_carga_masiva.test.js (R0).</t>
        </is>
      </c>
      <c r="I85" s="51" t="inlineStr">
        <is>
          <t>Entra en R4.</t>
        </is>
      </c>
      <c r="J85" s="51" t="n"/>
      <c r="K85" s="53" t="n">
        <v>46292</v>
      </c>
      <c r="L85" s="54">
        <f>IF(K85="","",TODAY()-K85)</f>
        <v/>
      </c>
    </row>
    <row r="86" ht="35.05" customHeight="1" s="33">
      <c r="A86" s="51" t="inlineStr">
        <is>
          <t>P21-13</t>
        </is>
      </c>
      <c r="B86" s="52" t="inlineStr">
        <is>
          <t>21</t>
        </is>
      </c>
      <c r="C86" s="51" t="inlineStr">
        <is>
          <t>Seguridad</t>
        </is>
      </c>
      <c r="D86" s="51" t="inlineStr">
        <is>
          <t>El skip de globalLimiter es código muerto: al montarse en /api/, req.path llega sin ese prefijo, así que login, registro y 2fa/verify sí gastan el presupuesto global</t>
        </is>
      </c>
      <c r="E86" s="51" t="inlineStr">
        <is>
          <t>Observación / defecto</t>
        </is>
      </c>
      <c r="F86" s="51" t="inlineStr">
        <is>
          <t>Terminado</t>
        </is>
      </c>
      <c r="G86" s="51" t="inlineStr">
        <is>
          <t>Baja</t>
        </is>
      </c>
      <c r="H86" s="51" t="inlineStr">
        <is>
          <t>middleware/rateLimiter.js (skip con req.path.startsWith('/api/login')…); comprobado con una prueba temporal del agente.</t>
        </is>
      </c>
      <c r="I86" s="51" t="inlineStr">
        <is>
          <t>Mezclado en main (commit c0a65c3, merge cb028d9).</t>
        </is>
      </c>
      <c r="J86" s="51" t="n"/>
      <c r="K86" s="53" t="n">
        <v>46301</v>
      </c>
      <c r="L86" s="54">
        <f>IF(K86="","",TODAY()-K86)</f>
        <v/>
      </c>
    </row>
    <row r="87" ht="23.85" customHeight="1" s="33">
      <c r="A87" s="51" t="inlineStr">
        <is>
          <t>P21-14</t>
        </is>
      </c>
      <c r="B87" s="52" t="inlineStr">
        <is>
          <t>21</t>
        </is>
      </c>
      <c r="C87" s="51" t="inlineStr">
        <is>
          <t>Caja</t>
        </is>
      </c>
      <c r="D87" s="51" t="inlineStr">
        <is>
          <t>Apertura de caja con transacción y bloqueo (punto 2.4), adelantada de R2 para antes del piloto</t>
        </is>
      </c>
      <c r="E87" s="51" t="inlineStr">
        <is>
          <t>Pendiente del plan</t>
        </is>
      </c>
      <c r="F87" s="51" t="inlineStr">
        <is>
          <t>Terminado</t>
        </is>
      </c>
      <c r="G87" s="51" t="inlineStr">
        <is>
          <t>Media</t>
        </is>
      </c>
      <c r="H87" s="51" t="inlineStr">
        <is>
          <t>Plan 21, punto 2.4 y sección 6; plan 22, sección 5 (A.3).</t>
        </is>
      </c>
      <c r="I87" s="51" t="inlineStr">
        <is>
          <t>Mezclado en main (commit 75a1861, merge cb028d9).</t>
        </is>
      </c>
      <c r="J87" s="51" t="n"/>
      <c r="K87" s="53" t="n">
        <v>46301</v>
      </c>
      <c r="L87" s="54">
        <f>IF(K87="","",TODAY()-K87)</f>
        <v/>
      </c>
    </row>
    <row r="88" ht="23.85" customHeight="1" s="33">
      <c r="A88" s="51" t="inlineStr">
        <is>
          <t>P21-15</t>
        </is>
      </c>
      <c r="B88" s="52" t="inlineStr">
        <is>
          <t>21</t>
        </is>
      </c>
      <c r="C88" s="51" t="inlineStr">
        <is>
          <t>Base de datos</t>
        </is>
      </c>
      <c r="D88" s="51" t="inlineStr">
        <is>
          <t>Migración explícita en lugar de la auto-migración de config/database.js (punto 2.2), adelantada de R4 para antes del piloto</t>
        </is>
      </c>
      <c r="E88" s="51" t="inlineStr">
        <is>
          <t>Decisión pendiente</t>
        </is>
      </c>
      <c r="F88" s="51" t="inlineStr">
        <is>
          <t>No iniciado</t>
        </is>
      </c>
      <c r="G88" s="51" t="inlineStr">
        <is>
          <t>Media</t>
        </is>
      </c>
      <c r="H88" s="51" t="inlineStr">
        <is>
          <t>Plan 21, punto 2.2 y decisión 4; plan 22, sección 5 (A.3).</t>
        </is>
      </c>
      <c r="I88" s="51" t="inlineStr">
        <is>
          <t>Recomendado: sí, antes de tener datos reales en producción. Ratificado el 8-oct: cargar cualquier módulo que importe config/database.js dispara la auto-migración contra el DATABASE_URL del .env (ocurrió por accidente al comprobar un require; apuntaba a la base local).</t>
        </is>
      </c>
      <c r="J88" s="51" t="n"/>
      <c r="K88" s="53" t="n">
        <v>46303</v>
      </c>
      <c r="L88" s="54">
        <f>IF(K88="","",TODAY()-K88)</f>
        <v/>
      </c>
    </row>
    <row r="89" ht="35.05" customHeight="1" s="33">
      <c r="A89" s="51" t="inlineStr">
        <is>
          <t>P21-16</t>
        </is>
      </c>
      <c r="B89" s="52" t="inlineStr">
        <is>
          <t>21</t>
        </is>
      </c>
      <c r="C89" s="51" t="inlineStr">
        <is>
          <t>Pruebas</t>
        </is>
      </c>
      <c r="D89" s="51" t="inlineStr">
        <is>
          <t>7 de los 11 E2E de Playwright fallan también en main: quedaron desalineados con el frontend actual (selector de rol en el login, #store_name, ToastContext)</t>
        </is>
      </c>
      <c r="E89" s="51" t="inlineStr">
        <is>
          <t>Observación / defecto</t>
        </is>
      </c>
      <c r="F89" s="51" t="inlineStr">
        <is>
          <t>No iniciado</t>
        </is>
      </c>
      <c r="G89" s="51" t="inlineStr">
        <is>
          <t>Media</t>
        </is>
      </c>
      <c r="H89" s="51" t="inlineStr">
        <is>
          <t>docs/hallazgo_e2e_desactualizados.md.</t>
        </is>
      </c>
      <c r="I89" s="51" t="inlineStr">
        <is>
          <t>Después del piloto, antes de R3. Mientras tanto, los cambios de interfaz se verifican a mano.</t>
        </is>
      </c>
      <c r="J89" s="51" t="n"/>
      <c r="K89" s="53" t="n">
        <v>46292</v>
      </c>
      <c r="L89" s="54">
        <f>IF(K89="","",TODAY()-K89)</f>
        <v/>
      </c>
    </row>
    <row r="90" ht="35.05" customHeight="1" s="33">
      <c r="A90" s="51" t="inlineStr">
        <is>
          <t>P22-01</t>
        </is>
      </c>
      <c r="B90" s="52" t="inlineStr">
        <is>
          <t>22</t>
        </is>
      </c>
      <c r="C90" s="51" t="inlineStr">
        <is>
          <t>Seguridad</t>
        </is>
      </c>
      <c r="D90" s="51" t="inlineStr">
        <is>
          <t>I0: auditoría de autorización: matriz rol × endpoint, requireAdmin donde corresponda y pruebas de 403 para el Tendero</t>
        </is>
      </c>
      <c r="E90" s="51" t="inlineStr">
        <is>
          <t>Pendiente del plan</t>
        </is>
      </c>
      <c r="F90" s="51" t="inlineStr">
        <is>
          <t>Terminado</t>
        </is>
      </c>
      <c r="G90" s="51" t="inlineStr">
        <is>
          <t>Alta</t>
        </is>
      </c>
      <c r="H90" s="51" t="inlineStr">
        <is>
          <t>Ramas fix/rutas-tienda-requireadmin (28-sep) y fix/i0-matriz-roles (3-oct), mezcladas y subidas. requireAdmin en 16 rutas más las de tienda; interfaz del Tendero ajustada (escáner solo suma stock).</t>
        </is>
      </c>
      <c r="I90" s="51" t="inlineStr">
        <is>
          <t>Verificación manual en producción por el QA del equipo con un usuario Tendero.</t>
        </is>
      </c>
      <c r="J90" s="51" t="n"/>
      <c r="K90" s="53" t="n">
        <v>46293</v>
      </c>
      <c r="L90" s="54">
        <f>IF(K90="","",TODAY()-K90)</f>
        <v/>
      </c>
    </row>
    <row r="91" ht="23.85" customHeight="1" s="33">
      <c r="A91" s="51" t="inlineStr">
        <is>
          <t>P22-02</t>
        </is>
      </c>
      <c r="B91" s="52" t="inlineStr">
        <is>
          <t>22</t>
        </is>
      </c>
      <c r="C91" s="51" t="inlineStr">
        <is>
          <t>Panel interno</t>
        </is>
      </c>
      <c r="D91" s="51" t="inlineStr">
        <is>
          <t>I1: esquema interno, cuentas del equipo creadas por script, inicio de sesión con segundo factor obligatorio, requireEquipo y bitácora</t>
        </is>
      </c>
      <c r="E91" s="51" t="inlineStr">
        <is>
          <t>Pendiente del plan</t>
        </is>
      </c>
      <c r="F91" s="51" t="inlineStr">
        <is>
          <t>No iniciado</t>
        </is>
      </c>
      <c r="G91" s="51" t="inlineStr">
        <is>
          <t>Alta</t>
        </is>
      </c>
      <c r="H91" s="51" t="inlineStr">
        <is>
          <t>Plan 22, secciones 3.1 y 3.2.</t>
        </is>
      </c>
      <c r="I91" s="51" t="inlineStr">
        <is>
          <t>Antes del arranque del piloto (plan 22, sección 5, C.2).</t>
        </is>
      </c>
      <c r="J91" s="51" t="n"/>
      <c r="K91" s="53" t="n">
        <v>46293</v>
      </c>
      <c r="L91" s="54">
        <f>IF(K91="","",TODAY()-K91)</f>
        <v/>
      </c>
    </row>
    <row r="92" ht="23.85" customHeight="1" s="33">
      <c r="A92" s="51" t="inlineStr">
        <is>
          <t>P22-03</t>
        </is>
      </c>
      <c r="B92" s="52" t="inlineStr">
        <is>
          <t>22</t>
        </is>
      </c>
      <c r="C92" s="51" t="inlineStr">
        <is>
          <t>Panel interno</t>
        </is>
      </c>
      <c r="D92" s="51" t="inlineStr">
        <is>
          <t>I2: vistas de métricas agregadas y pantallas Tiendas, Detalle y Bitácora (solo lectura)</t>
        </is>
      </c>
      <c r="E92" s="51" t="inlineStr">
        <is>
          <t>Pendiente del plan</t>
        </is>
      </c>
      <c r="F92" s="51" t="inlineStr">
        <is>
          <t>No iniciado</t>
        </is>
      </c>
      <c r="G92" s="51" t="inlineStr">
        <is>
          <t>Alta</t>
        </is>
      </c>
      <c r="H92" s="51" t="inlineStr">
        <is>
          <t>Plan 22, secciones 3.3 y 3.5.</t>
        </is>
      </c>
      <c r="I92" s="51" t="inlineStr">
        <is>
          <t>Antes del arranque del piloto. Debe excluir las tiendas de prueba (P22-19).</t>
        </is>
      </c>
      <c r="J92" s="51" t="n"/>
      <c r="K92" s="53" t="n">
        <v>46293</v>
      </c>
      <c r="L92" s="54">
        <f>IF(K92="","",TODAY()-K92)</f>
        <v/>
      </c>
    </row>
    <row r="93" ht="23.85" customHeight="1" s="33">
      <c r="A93" s="51" t="inlineStr">
        <is>
          <t>P22-04</t>
        </is>
      </c>
      <c r="B93" s="52" t="inlineStr">
        <is>
          <t>22</t>
        </is>
      </c>
      <c r="C93" s="51" t="inlineStr">
        <is>
          <t>Funciones</t>
        </is>
      </c>
      <c r="D93" s="51" t="inlineStr">
        <is>
          <t>I3: funciones liberables por tienda (catálogo, requireFuncion, useFunciones, perfil por defecto del piloto)</t>
        </is>
      </c>
      <c r="E93" s="51" t="inlineStr">
        <is>
          <t>Pendiente del plan</t>
        </is>
      </c>
      <c r="F93" s="51" t="inlineStr">
        <is>
          <t>No iniciado</t>
        </is>
      </c>
      <c r="G93" s="51" t="inlineStr">
        <is>
          <t>Baja</t>
        </is>
      </c>
      <c r="H93" s="51" t="inlineStr">
        <is>
          <t>Plan 22, sección 3.4.</t>
        </is>
      </c>
      <c r="I93" s="51" t="inlineStr">
        <is>
          <t>Después del piloto: el modo básico web es una preferencia por usuario y no necesita funciones por tienda.</t>
        </is>
      </c>
      <c r="J93" s="51" t="n"/>
      <c r="K93" s="53" t="n">
        <v>46301</v>
      </c>
      <c r="L93" s="54">
        <f>IF(K93="","",TODAY()-K93)</f>
        <v/>
      </c>
    </row>
    <row r="94" ht="23.85" customHeight="1" s="33">
      <c r="A94" s="51" t="inlineStr">
        <is>
          <t>P22-05</t>
        </is>
      </c>
      <c r="B94" s="52" t="inlineStr">
        <is>
          <t>22</t>
        </is>
      </c>
      <c r="C94" s="51" t="inlineStr">
        <is>
          <t>Panel interno</t>
        </is>
      </c>
      <c r="D94" s="51" t="inlineStr">
        <is>
          <t>I4: pantalla de embudo, párrafo nuevo en la política de datos, pregunta de experiencia digital en el registro y encuesta de satisfacción (dos preguntas de «sorpresa», plan 19, 3.5)</t>
        </is>
      </c>
      <c r="E94" s="51" t="inlineStr">
        <is>
          <t>Pendiente del plan</t>
        </is>
      </c>
      <c r="F94" s="51" t="inlineStr">
        <is>
          <t>No iniciado</t>
        </is>
      </c>
      <c r="G94" s="51" t="inlineStr">
        <is>
          <t>Media</t>
        </is>
      </c>
      <c r="H94" s="51" t="inlineStr">
        <is>
          <t>Plan 22, secciones 3.5 y 3.7; plan 19, 3.5.</t>
        </is>
      </c>
      <c r="I94" s="51" t="inlineStr">
        <is>
          <t>Antes del arranque del piloto.</t>
        </is>
      </c>
      <c r="J94" s="51" t="n"/>
      <c r="K94" s="53" t="n">
        <v>46301</v>
      </c>
      <c r="L94" s="54">
        <f>IF(K94="","",TODAY()-K94)</f>
        <v/>
      </c>
    </row>
    <row r="95" ht="23.85" customHeight="1" s="33">
      <c r="A95" s="51" t="inlineStr">
        <is>
          <t>P22-06</t>
        </is>
      </c>
      <c r="B95" s="52" t="inlineStr">
        <is>
          <t>22</t>
        </is>
      </c>
      <c r="C95" s="51" t="inlineStr">
        <is>
          <t>Métricas</t>
        </is>
      </c>
      <c r="D95" s="51" t="inlineStr">
        <is>
          <t>Definir con precisión "activación" (a: una venta en 7 días, b: ventas en 5 de 7 días, c: ventas los 7 días) antes de la convocatoria</t>
        </is>
      </c>
      <c r="E95" s="51" t="inlineStr">
        <is>
          <t>Decisión pendiente</t>
        </is>
      </c>
      <c r="F95" s="51" t="inlineStr">
        <is>
          <t>Terminado</t>
        </is>
      </c>
      <c r="G95" s="51" t="inlineStr">
        <is>
          <t>Alta</t>
        </is>
      </c>
      <c r="H95" s="51" t="inlineStr">
        <is>
          <t>Plan 22, sección 7, decisión 3.</t>
        </is>
      </c>
      <c r="I95" s="51" t="inlineStr">
        <is>
          <t>Decidido el 28-sep: al menos 20 productos y ventas en al menos 5 de los primeros 7 días.</t>
        </is>
      </c>
      <c r="J95" s="51" t="n"/>
      <c r="K95" s="53" t="n">
        <v>46293</v>
      </c>
      <c r="L95" s="54">
        <f>IF(K95="","",TODAY()-K95)</f>
        <v/>
      </c>
    </row>
    <row r="96" ht="35.05" customHeight="1" s="33">
      <c r="A96" s="51" t="inlineStr">
        <is>
          <t>P22-07</t>
        </is>
      </c>
      <c r="B96" s="52" t="inlineStr">
        <is>
          <t>22</t>
        </is>
      </c>
      <c r="C96" s="51" t="inlineStr">
        <is>
          <t>Métricas</t>
        </is>
      </c>
      <c r="D96" s="51" t="inlineStr">
        <is>
          <t>Definir "días de apertura" para la adopción: preguntarlos al registrarse o asumir 7</t>
        </is>
      </c>
      <c r="E96" s="51" t="inlineStr">
        <is>
          <t>Decisión pendiente</t>
        </is>
      </c>
      <c r="F96" s="51" t="inlineStr">
        <is>
          <t>Terminado</t>
        </is>
      </c>
      <c r="G96" s="51" t="inlineStr">
        <is>
          <t>Media</t>
        </is>
      </c>
      <c r="H96" s="51" t="inlineStr">
        <is>
          <t>Plan 22, sección 7, decisión 4.</t>
        </is>
      </c>
      <c r="I96" s="51" t="inlineStr">
        <is>
          <t>Decidido el 28-sep: se pregunta en el registro (Tienda.dias_apertura_semana, 1 a 7); las tiendas existentes quedan en 7. Se implementa en I4.</t>
        </is>
      </c>
      <c r="J96" s="51" t="n"/>
      <c r="K96" s="53" t="n">
        <v>46293</v>
      </c>
      <c r="L96" s="54">
        <f>IF(K96="","",TODAY()-K96)</f>
        <v/>
      </c>
    </row>
    <row r="97" ht="23.85" customHeight="1" s="33">
      <c r="A97" s="51" t="inlineStr">
        <is>
          <t>P22-08</t>
        </is>
      </c>
      <c r="B97" s="52" t="inlineStr">
        <is>
          <t>22</t>
        </is>
      </c>
      <c r="C97" s="51" t="inlineStr">
        <is>
          <t>Proceso</t>
        </is>
      </c>
      <c r="D97" s="51" t="inlineStr">
        <is>
          <t>Congelar cambios de producto durante las 6 semanas del piloto (solo correcciones de errores)</t>
        </is>
      </c>
      <c r="E97" s="51" t="inlineStr">
        <is>
          <t>Decisión pendiente</t>
        </is>
      </c>
      <c r="F97" s="51" t="inlineStr">
        <is>
          <t>No iniciado</t>
        </is>
      </c>
      <c r="G97" s="51" t="inlineStr">
        <is>
          <t>Media</t>
        </is>
      </c>
      <c r="H97" s="51" t="inlineStr">
        <is>
          <t>Plan 22, sección 5.</t>
        </is>
      </c>
      <c r="I97" s="51" t="inlineStr">
        <is>
          <t>Incluye la app: durante el piloto no se publican versiones nuevas, salvo correcciones de errores.</t>
        </is>
      </c>
      <c r="J97" s="51" t="n"/>
      <c r="K97" s="53" t="n">
        <v>46293</v>
      </c>
      <c r="L97" s="54">
        <f>IF(K97="","",TODAY()-K97)</f>
        <v/>
      </c>
    </row>
    <row r="98" ht="35.05" customHeight="1" s="33">
      <c r="A98" s="51" t="inlineStr">
        <is>
          <t>P22-09</t>
        </is>
      </c>
      <c r="B98" s="52" t="inlineStr">
        <is>
          <t>22</t>
        </is>
      </c>
      <c r="C98" s="51" t="inlineStr">
        <is>
          <t>Seguridad</t>
        </is>
      </c>
      <c r="D98" s="51" t="inlineStr">
        <is>
          <t>Egresos de caja: aprobar y rechazar no revisan el rol ni la tienda; un Tendero puede aprobar egresos propios y de cualquier otra tienda</t>
        </is>
      </c>
      <c r="E98" s="51" t="inlineStr">
        <is>
          <t>Observación / defecto</t>
        </is>
      </c>
      <c r="F98" s="51" t="inlineStr">
        <is>
          <t>Terminado</t>
        </is>
      </c>
      <c r="G98" s="51" t="inlineStr">
        <is>
          <t>Alta</t>
        </is>
      </c>
      <c r="H98" s="51" t="inlineStr">
        <is>
          <t>routes/cashRegisterRoutes.js:15-16; models/CashRegister.js approveExpense y rejectExpense (WHERE id_egreso = ? sin id_tienda). Caracterizado en autorizacion_roles.test.js.</t>
        </is>
      </c>
      <c r="I98" s="51" t="inlineStr">
        <is>
          <t>Corregido el 28-sep: solo el Administrador, solo de su tienda y solo desde el estado Registrado (409 en otro caso).</t>
        </is>
      </c>
      <c r="J98" s="51" t="n"/>
      <c r="K98" s="53" t="n">
        <v>46293</v>
      </c>
      <c r="L98" s="54">
        <f>IF(K98="","",TODAY()-K98)</f>
        <v/>
      </c>
    </row>
    <row r="99" ht="35.05" customHeight="1" s="33">
      <c r="A99" s="51" t="inlineStr">
        <is>
          <t>P22-10</t>
        </is>
      </c>
      <c r="B99" s="52" t="inlineStr">
        <is>
          <t>22</t>
        </is>
      </c>
      <c r="C99" s="51" t="inlineStr">
        <is>
          <t>Seguridad</t>
        </is>
      </c>
      <c r="D99" s="51" t="inlineStr">
        <is>
          <t>Decidir la matriz de roles: qué puede hacer el Tendero en productos (editar, eliminar, precio), promociones, apply-strategy, alertas, ajuste de inventario, reportes y exportar</t>
        </is>
      </c>
      <c r="E99" s="51" t="inlineStr">
        <is>
          <t>Decisión pendiente</t>
        </is>
      </c>
      <c r="F99" s="51" t="inlineStr">
        <is>
          <t>Terminado</t>
        </is>
      </c>
      <c r="G99" s="51" t="inlineStr">
        <is>
          <t>Alta</t>
        </is>
      </c>
      <c r="H99" s="51" t="inlineStr">
        <is>
          <t>Plan 22, sección 1.4; tabla de autorizacion_roles.test.js.</t>
        </is>
      </c>
      <c r="I99" s="51" t="inlineStr">
        <is>
          <t>Decidido el 28-sep: D1 a D4 = solo Administrador (plan 22, sección 7, decisión 6; docs/propuesta_matriz_roles_P22-10.md).</t>
        </is>
      </c>
      <c r="J99" s="51" t="n"/>
      <c r="K99" s="53" t="n">
        <v>46293</v>
      </c>
      <c r="L99" s="54">
        <f>IF(K99="","",TODAY()-K99)</f>
        <v/>
      </c>
    </row>
    <row r="100" ht="23.85" customHeight="1" s="33">
      <c r="A100" s="51" t="inlineStr">
        <is>
          <t>P22-11</t>
        </is>
      </c>
      <c r="B100" s="52" t="inlineStr">
        <is>
          <t>22</t>
        </is>
      </c>
      <c r="C100" s="51" t="inlineStr">
        <is>
          <t>Seguridad</t>
        </is>
      </c>
      <c r="D100" s="51" t="inlineStr">
        <is>
          <t>POST /api/admin/seed vaciaba todas las tablas de todas las tiendas y creaba admin/admin123; cualquier persona registrada podía llamarla</t>
        </is>
      </c>
      <c r="E100" s="51" t="inlineStr">
        <is>
          <t>Observación / defecto</t>
        </is>
      </c>
      <c r="F100" s="51" t="inlineStr">
        <is>
          <t>Terminado</t>
        </is>
      </c>
      <c r="G100" s="51" t="inlineStr">
        <is>
          <t>Alta</t>
        </is>
      </c>
      <c r="H100" s="51" t="inlineStr">
        <is>
          <t>Corregido el 28-sep (fix/seed-produccion): ruta eliminada; la semilla solo corre como comando con guardia de base local.</t>
        </is>
      </c>
      <c r="I100" s="51" t="inlineStr">
        <is>
          <t>Plan 22, sección 1.4.</t>
        </is>
      </c>
      <c r="J100" s="51" t="n"/>
      <c r="K100" s="53" t="n">
        <v>46293</v>
      </c>
      <c r="L100" s="54">
        <f>IF(K100="","",TODAY()-K100)</f>
        <v/>
      </c>
    </row>
    <row r="101" ht="23.85" customHeight="1" s="33">
      <c r="A101" s="51" t="inlineStr">
        <is>
          <t>P22-12</t>
        </is>
      </c>
      <c r="B101" s="52" t="inlineStr">
        <is>
          <t>22</t>
        </is>
      </c>
      <c r="C101" s="51" t="inlineStr">
        <is>
          <t>Seguridad</t>
        </is>
      </c>
      <c r="D101" s="51" t="inlineStr">
        <is>
          <t>C1: reportes editables y borrables entre tiendas (Report.update/delete filtraban solo por id)</t>
        </is>
      </c>
      <c r="E101" s="51" t="inlineStr">
        <is>
          <t>Observación / defecto</t>
        </is>
      </c>
      <c r="F101" s="51" t="inlineStr">
        <is>
          <t>Terminado</t>
        </is>
      </c>
      <c r="G101" s="51" t="inlineStr">
        <is>
          <t>Alta</t>
        </is>
      </c>
      <c r="H101" s="51" t="inlineStr">
        <is>
          <t>Corregido el 28-sep (fix/aislamiento-reportes-feedback).</t>
        </is>
      </c>
      <c r="I101" s="51" t="n"/>
      <c r="J101" s="51" t="n"/>
      <c r="K101" s="53" t="n">
        <v>46293</v>
      </c>
      <c r="L101" s="54">
        <f>IF(K101="","",TODAY()-K101)</f>
        <v/>
      </c>
    </row>
    <row r="102" ht="23.85" customHeight="1" s="33">
      <c r="A102" s="51" t="inlineStr">
        <is>
          <t>P22-13</t>
        </is>
      </c>
      <c r="B102" s="52" t="inlineStr">
        <is>
          <t>22</t>
        </is>
      </c>
      <c r="C102" s="51" t="inlineStr">
        <is>
          <t>Seguridad</t>
        </is>
      </c>
      <c r="D102" s="51" t="inlineStr">
        <is>
          <t>C2: evaluación de IA de órdenes de otra tienda, con fuga de nombres y ventas de productos</t>
        </is>
      </c>
      <c r="E102" s="51" t="inlineStr">
        <is>
          <t>Observación / defecto</t>
        </is>
      </c>
      <c r="F102" s="51" t="inlineStr">
        <is>
          <t>Terminado</t>
        </is>
      </c>
      <c r="G102" s="51" t="inlineStr">
        <is>
          <t>Alta</t>
        </is>
      </c>
      <c r="H102" s="51" t="inlineStr">
        <is>
          <t>Corregido el 28-sep (fix/aislamiento-reportes-feedback); evaluateOrder caracterizado antes del cambio.</t>
        </is>
      </c>
      <c r="I102" s="51" t="n"/>
      <c r="J102" s="51" t="n"/>
      <c r="K102" s="53" t="n">
        <v>46293</v>
      </c>
      <c r="L102" s="54">
        <f>IF(K102="","",TODAY()-K102)</f>
        <v/>
      </c>
    </row>
    <row r="103" ht="15" customHeight="1" s="33">
      <c r="A103" s="51" t="inlineStr">
        <is>
          <t>P22-14</t>
        </is>
      </c>
      <c r="B103" s="52" t="inlineStr">
        <is>
          <t>22</t>
        </is>
      </c>
      <c r="C103" s="51" t="inlineStr">
        <is>
          <t>Seguridad</t>
        </is>
      </c>
      <c r="D103" s="51" t="inlineStr">
        <is>
          <t>C3: POST /api/alertas/test-summary enviaba correos sin requireAdmin</t>
        </is>
      </c>
      <c r="E103" s="51" t="inlineStr">
        <is>
          <t>Observación / defecto</t>
        </is>
      </c>
      <c r="F103" s="51" t="inlineStr">
        <is>
          <t>Terminado</t>
        </is>
      </c>
      <c r="G103" s="51" t="inlineStr">
        <is>
          <t>Media</t>
        </is>
      </c>
      <c r="H103" s="51" t="inlineStr">
        <is>
          <t>Corregido el 28-sep.</t>
        </is>
      </c>
      <c r="I103" s="51" t="n"/>
      <c r="J103" s="51" t="n"/>
      <c r="K103" s="53" t="n">
        <v>46293</v>
      </c>
      <c r="L103" s="54">
        <f>IF(K103="","",TODAY()-K103)</f>
        <v/>
      </c>
    </row>
    <row r="104" ht="23.85" customHeight="1" s="33">
      <c r="A104" s="51" t="inlineStr">
        <is>
          <t>P22-15</t>
        </is>
      </c>
      <c r="B104" s="52" t="inlineStr">
        <is>
          <t>22</t>
        </is>
      </c>
      <c r="C104" s="51" t="inlineStr">
        <is>
          <t>Seguridad</t>
        </is>
      </c>
      <c r="D104" s="51" t="inlineStr">
        <is>
          <t>C4: un token CSRF inválido responde 500 en vez de 403 (el manejador global ignora err.status)</t>
        </is>
      </c>
      <c r="E104" s="51" t="inlineStr">
        <is>
          <t>Observación / defecto</t>
        </is>
      </c>
      <c r="F104" s="51" t="inlineStr">
        <is>
          <t>No iniciado</t>
        </is>
      </c>
      <c r="G104" s="51" t="inlineStr">
        <is>
          <t>Baja</t>
        </is>
      </c>
      <c r="H104" s="51" t="inlineStr">
        <is>
          <t>app.js, manejador global de errores.</t>
        </is>
      </c>
      <c r="I104" s="51" t="inlineStr">
        <is>
          <t>Revisar antes cómo reacciona la interfaz.</t>
        </is>
      </c>
      <c r="J104" s="51" t="n"/>
      <c r="K104" s="53" t="n">
        <v>46293</v>
      </c>
      <c r="L104" s="54">
        <f>IF(K104="","",TODAY()-K104)</f>
        <v/>
      </c>
    </row>
    <row r="105" ht="23.85" customHeight="1" s="33">
      <c r="A105" s="51" t="inlineStr">
        <is>
          <t>P22-16</t>
        </is>
      </c>
      <c r="B105" s="52" t="inlineStr">
        <is>
          <t>22</t>
        </is>
      </c>
      <c r="C105" s="51" t="inlineStr">
        <is>
          <t>Seguridad</t>
        </is>
      </c>
      <c r="D105" s="51" t="inlineStr">
        <is>
          <t>C5: clienteRoutes aplica requireLogin a todo /api (rutas inexistentes responden 401 en vez de 404)</t>
        </is>
      </c>
      <c r="E105" s="51" t="inlineStr">
        <is>
          <t>Observación / defecto</t>
        </is>
      </c>
      <c r="F105" s="51" t="inlineStr">
        <is>
          <t>No iniciado</t>
        </is>
      </c>
      <c r="G105" s="51" t="inlineStr">
        <is>
          <t>Baja</t>
        </is>
      </c>
      <c r="H105" s="51" t="inlineStr">
        <is>
          <t>routes/clienteRoutes.js.</t>
        </is>
      </c>
      <c r="I105" s="51" t="inlineStr">
        <is>
          <t>Entra en R4.</t>
        </is>
      </c>
      <c r="J105" s="51" t="n"/>
      <c r="K105" s="53" t="n">
        <v>46293</v>
      </c>
      <c r="L105" s="54">
        <f>IF(K105="","",TODAY()-K105)</f>
        <v/>
      </c>
    </row>
    <row r="106" ht="23.85" customHeight="1" s="33">
      <c r="A106" s="51" t="inlineStr">
        <is>
          <t>P22-17</t>
        </is>
      </c>
      <c r="B106" s="52" t="inlineStr">
        <is>
          <t>22</t>
        </is>
      </c>
      <c r="C106" s="51" t="inlineStr">
        <is>
          <t>Seguridad</t>
        </is>
      </c>
      <c r="D106" s="51" t="inlineStr">
        <is>
          <t>C6: la carpeta exports/ era compartida; cualquier usuario listaba y descargaba exportaciones de otras tiendas</t>
        </is>
      </c>
      <c r="E106" s="51" t="inlineStr">
        <is>
          <t>Observación / defecto</t>
        </is>
      </c>
      <c r="F106" s="51" t="inlineStr">
        <is>
          <t>Terminado</t>
        </is>
      </c>
      <c r="G106" s="51" t="inlineStr">
        <is>
          <t>Alta</t>
        </is>
      </c>
      <c r="H106" s="51" t="inlineStr">
        <is>
          <t>Corregido el 3-oct (fix/exports-por-tienda): tienda en el nombre, verificación al descargar, borrado tras descarga, sin listado.</t>
        </is>
      </c>
      <c r="I106" s="51" t="n"/>
      <c r="J106" s="51" t="n"/>
      <c r="K106" s="53" t="n">
        <v>46293</v>
      </c>
      <c r="L106" s="54">
        <f>IF(K106="","",TODAY()-K106)</f>
        <v/>
      </c>
    </row>
    <row r="107" ht="23.85" customHeight="1" s="33">
      <c r="A107" s="51" t="inlineStr">
        <is>
          <t>P22-18</t>
        </is>
      </c>
      <c r="B107" s="52" t="inlineStr">
        <is>
          <t>22</t>
        </is>
      </c>
      <c r="C107" s="51" t="inlineStr">
        <is>
          <t>Seguridad</t>
        </is>
      </c>
      <c r="D107" s="51" t="inlineStr">
        <is>
          <t>C7: PUT /api/productos/agregar/:id sumaba o restaba stock sin movimiento en el Kardex</t>
        </is>
      </c>
      <c r="E107" s="51" t="inlineStr">
        <is>
          <t>Observación / defecto</t>
        </is>
      </c>
      <c r="F107" s="51" t="inlineStr">
        <is>
          <t>Terminado</t>
        </is>
      </c>
      <c r="G107" s="51" t="inlineStr">
        <is>
          <t>Alta</t>
        </is>
      </c>
      <c r="H107" s="51" t="inlineStr">
        <is>
          <t>Ruta eliminada el 3-oct (fix/i0-matriz-roles).</t>
        </is>
      </c>
      <c r="I107" s="51" t="n"/>
      <c r="J107" s="51" t="n"/>
      <c r="K107" s="53" t="n">
        <v>46293</v>
      </c>
      <c r="L107" s="54">
        <f>IF(K107="","",TODAY()-K107)</f>
        <v/>
      </c>
    </row>
    <row r="108" ht="23.85" customHeight="1" s="33">
      <c r="A108" s="51" t="inlineStr">
        <is>
          <t>P22-19</t>
        </is>
      </c>
      <c r="B108" s="52" t="inlineStr">
        <is>
          <t>22</t>
        </is>
      </c>
      <c r="C108" s="51" t="inlineStr">
        <is>
          <t>Métricas</t>
        </is>
      </c>
      <c r="D108" s="51" t="inlineStr">
        <is>
          <t>Excluir las tiendas de prueba del equipo de las métricas del piloto (propuesta: Tienda.es_prueba)</t>
        </is>
      </c>
      <c r="E108" s="51" t="inlineStr">
        <is>
          <t>Pendiente del plan</t>
        </is>
      </c>
      <c r="F108" s="51" t="inlineStr">
        <is>
          <t>No iniciado</t>
        </is>
      </c>
      <c r="G108" s="51" t="inlineStr">
        <is>
          <t>Alta</t>
        </is>
      </c>
      <c r="H108" s="51" t="inlineStr">
        <is>
          <t>Plan 22, sección 3.3.</t>
        </is>
      </c>
      <c r="I108" s="51" t="inlineStr">
        <is>
          <t>Antes del arranque del piloto, junto con I2.</t>
        </is>
      </c>
      <c r="J108" s="51" t="n"/>
      <c r="K108" s="53" t="n">
        <v>46293</v>
      </c>
      <c r="L108" s="54">
        <f>IF(K108="","",TODAY()-K108)</f>
        <v/>
      </c>
    </row>
    <row r="109" ht="23.85" customHeight="1" s="33">
      <c r="A109" s="51" t="inlineStr">
        <is>
          <t>P23-01</t>
        </is>
      </c>
      <c r="B109" s="52" t="inlineStr">
        <is>
          <t>23</t>
        </is>
      </c>
      <c r="C109" s="51" t="inlineStr">
        <is>
          <t>Evaluador</t>
        </is>
      </c>
      <c r="D109" s="51" t="inlineStr">
        <is>
          <t>El evaluador de Feedback_IA compara un número equivocado: sugerencia_ia guarda el % de ajuste de la IA y feedbackController.js:99 lo usa como cantidad. Corregirlo y decidir qué cantidad(es) se evalúan (propuesta: motor, IA ajustada y lo que pidió el dueño)</t>
        </is>
      </c>
      <c r="E109" s="51" t="inlineStr">
        <is>
          <t>Observación / defecto</t>
        </is>
      </c>
      <c r="F109" s="51" t="inlineStr">
        <is>
          <t>No iniciado</t>
        </is>
      </c>
      <c r="G109" s="51" t="inlineStr">
        <is>
          <t>Alta</t>
        </is>
      </c>
      <c r="H109" s="51" t="inlineStr">
        <is>
          <t>Plan 23, secciones 1 y 3.A. controllers/feedbackController.js:99; ordenBorradorController.js:102.</t>
        </is>
      </c>
      <c r="I109" s="51" t="inlineStr">
        <is>
          <t>Antes del arranque del piloto. Decisión 1 de Luis. Probablemente requiere migración (columnas nuevas en Feedback_IA). Cambia el factor que usan alertas y Proveedores.</t>
        </is>
      </c>
      <c r="J109" s="51" t="inlineStr">
        <is>
          <t>Luis</t>
        </is>
      </c>
      <c r="K109" s="53" t="n">
        <v>46301</v>
      </c>
      <c r="L109" s="54">
        <f>IF(K109="","",TODAY()-K109)</f>
        <v/>
      </c>
    </row>
    <row r="110" ht="23.85" customHeight="1" s="33">
      <c r="A110" s="51" t="inlineStr">
        <is>
          <t>P23-02</t>
        </is>
      </c>
      <c r="B110" s="52" t="inlineStr">
        <is>
          <t>23</t>
        </is>
      </c>
      <c r="C110" s="51" t="inlineStr">
        <is>
          <t>Medición</t>
        </is>
      </c>
      <c r="D110" s="51" t="inlineStr">
        <is>
          <t>Reporte comparativo: error del motor, de la IA y del dueño frente a las ventas reales, por tienda y producto</t>
        </is>
      </c>
      <c r="E110" s="51" t="inlineStr">
        <is>
          <t>Pendiente del plan</t>
        </is>
      </c>
      <c r="F110" s="51" t="inlineStr">
        <is>
          <t>No iniciado</t>
        </is>
      </c>
      <c r="G110" s="51" t="inlineStr">
        <is>
          <t>Media</t>
        </is>
      </c>
      <c r="H110" s="51" t="inlineStr">
        <is>
          <t>Plan 23, sección 3.A3.</t>
        </is>
      </c>
      <c r="I110" s="51" t="inlineStr">
        <is>
          <t>En rama durante el piloto. Depende de P23-01. Sirve también para el documento académico.</t>
        </is>
      </c>
      <c r="J110" s="51" t="n"/>
      <c r="K110" s="53" t="n">
        <v>46301</v>
      </c>
      <c r="L110" s="54">
        <f>IF(K110="","",TODAY()-K110)</f>
        <v/>
      </c>
    </row>
    <row r="111" ht="23.85" customHeight="1" s="33">
      <c r="A111" s="51" t="inlineStr">
        <is>
          <t>P23-03</t>
        </is>
      </c>
      <c r="B111" s="52" t="inlineStr">
        <is>
          <t>23</t>
        </is>
      </c>
      <c r="C111" s="51" t="inlineStr">
        <is>
          <t>Motor adaptativo</t>
        </is>
      </c>
      <c r="D111" s="51" t="inlineStr">
        <is>
          <t>Estadística sin IA: tiempo real de entrega por proveedor, variabilidad de la demanda, efecto del día de la semana o la quincena</t>
        </is>
      </c>
      <c r="E111" s="51" t="inlineStr">
        <is>
          <t>Pendiente del plan</t>
        </is>
      </c>
      <c r="F111" s="51" t="inlineStr">
        <is>
          <t>No iniciado</t>
        </is>
      </c>
      <c r="G111" s="51" t="inlineStr">
        <is>
          <t>Media</t>
        </is>
      </c>
      <c r="H111" s="51" t="inlineStr">
        <is>
          <t>Plan 23, sección 3.A4.</t>
        </is>
      </c>
      <c r="I111" s="51" t="inlineStr">
        <is>
          <t>Opcional. En rama durante el piloto. Es lo más honesto para decir que el motor «se adapta».</t>
        </is>
      </c>
      <c r="J111" s="51" t="n"/>
      <c r="K111" s="53" t="n">
        <v>46301</v>
      </c>
      <c r="L111" s="54">
        <f>IF(K111="","",TODAY()-K111)</f>
        <v/>
      </c>
    </row>
    <row r="112" ht="23.85" customHeight="1" s="33">
      <c r="A112" s="51" t="inlineStr">
        <is>
          <t>P23-04</t>
        </is>
      </c>
      <c r="B112" s="52" t="inlineStr">
        <is>
          <t>23</t>
        </is>
      </c>
      <c r="C112" s="51" t="inlineStr">
        <is>
          <t>IA</t>
        </is>
      </c>
      <c r="D112" s="51" t="inlineStr">
        <is>
          <t>Darle contexto real al ajuste de la IA (calendario, quincena, festivos, vencimientos) y registrar el contexto en Auditoria_IA</t>
        </is>
      </c>
      <c r="E112" s="51" t="inlineStr">
        <is>
          <t>Pendiente del plan</t>
        </is>
      </c>
      <c r="F112" s="51" t="inlineStr">
        <is>
          <t>No iniciado</t>
        </is>
      </c>
      <c r="G112" s="51" t="inlineStr">
        <is>
          <t>Media</t>
        </is>
      </c>
      <c r="H112" s="51" t="inlineStr">
        <is>
          <t>Plan 23, sección 3.B.</t>
        </is>
      </c>
      <c r="I112" s="51" t="inlineStr">
        <is>
          <t>Depende de P23-01 y P23-02: sin medición no se sabe si mejora algo.</t>
        </is>
      </c>
      <c r="J112" s="51" t="n"/>
      <c r="K112" s="53" t="n">
        <v>46301</v>
      </c>
      <c r="L112" s="54">
        <f>IF(K112="","",TODAY()-K112)</f>
        <v/>
      </c>
    </row>
    <row r="113" ht="23.85" customHeight="1" s="33">
      <c r="A113" s="51" t="inlineStr">
        <is>
          <t>P23-05</t>
        </is>
      </c>
      <c r="B113" s="52" t="inlineStr">
        <is>
          <t>23</t>
        </is>
      </c>
      <c r="C113" s="51" t="inlineStr">
        <is>
          <t>IA</t>
        </is>
      </c>
      <c r="D113" s="51" t="inlineStr">
        <is>
          <t>Leer fotos de facturas del proveedor para dar entrada a mercancía o alta de catálogo, mandando a la IA solo las líneas y sin guardar la imagen</t>
        </is>
      </c>
      <c r="E113" s="51" t="inlineStr">
        <is>
          <t>Pendiente del plan</t>
        </is>
      </c>
      <c r="F113" s="51" t="inlineStr">
        <is>
          <t>No iniciado</t>
        </is>
      </c>
      <c r="G113" s="51" t="inlineStr">
        <is>
          <t>Media</t>
        </is>
      </c>
      <c r="H113" s="51" t="inlineStr">
        <is>
          <t>Plan 23, sección 3.C.</t>
        </is>
      </c>
      <c r="I113" s="51" t="inlineStr">
        <is>
          <t>Es el frente más grande. Depende de P23-06 y P23-07 (privacidad). Nunca fotos del cuaderno de fiados.</t>
        </is>
      </c>
      <c r="J113" s="51" t="n"/>
      <c r="K113" s="53" t="n">
        <v>46301</v>
      </c>
      <c r="L113" s="54">
        <f>IF(K113="","",TODAY()-K113)</f>
        <v/>
      </c>
    </row>
    <row r="114" ht="23.85" customHeight="1" s="33">
      <c r="A114" s="51" t="inlineStr">
        <is>
          <t>P23-06</t>
        </is>
      </c>
      <c r="B114" s="52" t="inlineStr">
        <is>
          <t>23</t>
        </is>
      </c>
      <c r="C114" s="51" t="inlineStr">
        <is>
          <t>Privacidad</t>
        </is>
      </c>
      <c r="D114" s="51" t="inlineStr">
        <is>
          <t>El Consejero manda el nombre del proveedor y las promociones mandan el «motivo del dueño» (texto libre) a OpenAI; la política publicada dice que no se envían datos personales</t>
        </is>
      </c>
      <c r="E114" s="51" t="inlineStr">
        <is>
          <t>Observación / defecto</t>
        </is>
      </c>
      <c r="F114" s="51" t="inlineStr">
        <is>
          <t>No iniciado</t>
        </is>
      </c>
      <c r="G114" s="51" t="inlineStr">
        <is>
          <t>Alta</t>
        </is>
      </c>
      <c r="H114" s="51" t="inlineStr">
        <is>
          <t>Plan 23, sección 4. controllers/aiController.js (Consejero y getPromotionSuggestions).</t>
        </is>
      </c>
      <c r="I114" s="51" t="inlineStr">
        <is>
          <t>Antes del arranque del piloto. Mandar id o etiqueta genérica; ampliar tests/integration/ia_privacidad.test.js. Decisión 3 de Luis.</t>
        </is>
      </c>
      <c r="J114" s="51" t="inlineStr">
        <is>
          <t>Luis</t>
        </is>
      </c>
      <c r="K114" s="53" t="n">
        <v>46301</v>
      </c>
      <c r="L114" s="54">
        <f>IF(K114="","",TODAY()-K114)</f>
        <v/>
      </c>
    </row>
    <row r="115" ht="23.85" customHeight="1" s="33">
      <c r="A115" s="51" t="inlineStr">
        <is>
          <t>P23-07</t>
        </is>
      </c>
      <c r="B115" s="52" t="inlineStr">
        <is>
          <t>23</t>
        </is>
      </c>
      <c r="C115" s="51" t="inlineStr">
        <is>
          <t>Privacidad</t>
        </is>
      </c>
      <c r="D115" s="51" t="inlineStr">
        <is>
          <t>Revisión jurídica de lo que se envía a OpenAI (responsable/encargado, transmisión internacional, registro ante la SIC, términos de OpenAI) y reescritura de la política de datos</t>
        </is>
      </c>
      <c r="E115" s="51" t="inlineStr">
        <is>
          <t>Decisión pendiente</t>
        </is>
      </c>
      <c r="F115" s="51" t="inlineStr">
        <is>
          <t>No iniciado</t>
        </is>
      </c>
      <c r="G115" s="51" t="inlineStr">
        <is>
          <t>Alta</t>
        </is>
      </c>
      <c r="H115" s="51" t="inlineStr">
        <is>
          <t>Plan 23, sección 4 (preguntas). frontend/src/pages/PoliticaDatosPage.jsx.</t>
        </is>
      </c>
      <c r="I115" s="51" t="inlineStr">
        <is>
          <t>Antes de activar cualquier función de IA que envíe datos personales o fotos. El equipo no es asesor jurídico: consultar al docente o al consultorio jurídico.</t>
        </is>
      </c>
      <c r="J115" s="51" t="inlineStr">
        <is>
          <t>Luis</t>
        </is>
      </c>
      <c r="K115" s="53" t="n">
        <v>46301</v>
      </c>
      <c r="L115" s="54">
        <f>IF(K115="","",TODAY()-K115)</f>
        <v/>
      </c>
    </row>
    <row r="116" ht="23.85" customHeight="1" s="33">
      <c r="A116" s="51" t="inlineStr">
        <is>
          <t>P23-08</t>
        </is>
      </c>
      <c r="B116" s="52" t="inlineStr">
        <is>
          <t>23</t>
        </is>
      </c>
      <c r="C116" s="51" t="inlineStr">
        <is>
          <t>Documentos</t>
        </is>
      </c>
      <c r="D116" s="51" t="inlineStr">
        <is>
          <t>Reposicionar la propuesta de valor: de «usando IA» a motor propio, explicable y auditable con la IA como capa opcional en evaluación; revisar título, objetivo general y objetivo específico 3; no reutilizar cifras sin respaldo (85 %, 28 %, 22 %, 4 h)</t>
        </is>
      </c>
      <c r="E116" s="51" t="inlineStr">
        <is>
          <t>Decisión pendiente</t>
        </is>
      </c>
      <c r="F116" s="51" t="inlineStr">
        <is>
          <t>En progreso</t>
        </is>
      </c>
      <c r="G116" s="51" t="inlineStr">
        <is>
          <t>Media</t>
        </is>
      </c>
      <c r="H116" s="51" t="inlineStr">
        <is>
          <t>Plan 23, sección 6. Documento único para actualizar el Documento 5 del Drive: Documentacion/Revision_Documento_Practica_5_v2.docx (secciones A a G de la revisión del 26-sep, actualizadas, más H a K nuevas). Reemplaza al borrador «Secciones corregidas sobre la IA».</t>
        </is>
      </c>
      <c r="I116" s="51" t="inlineStr">
        <is>
          <t>Falta que Luis aplique los textos en el Documento 5 y en el Plan de Negocio e Intervención, y que consulte al docente antes de cambiar título y objetivos. Verificar los pasajes en Word/Drive. Nueve verificaciones pendientes en la sección K de la revisión v2.</t>
        </is>
      </c>
      <c r="J116" s="51" t="inlineStr">
        <is>
          <t>Luis</t>
        </is>
      </c>
      <c r="K116" s="53" t="n">
        <v>46301</v>
      </c>
      <c r="L116" s="54">
        <f>IF(K116="","",TODAY()-K116)</f>
        <v/>
      </c>
    </row>
    <row r="117" ht="23.85" customHeight="1" s="33">
      <c r="A117" s="51" t="inlineStr">
        <is>
          <t>P23-09</t>
        </is>
      </c>
      <c r="B117" s="52" t="inlineStr">
        <is>
          <t>23</t>
        </is>
      </c>
      <c r="C117" s="51" t="inlineStr">
        <is>
          <t>Privacidad</t>
        </is>
      </c>
      <c r="D117" s="51" t="inlineStr">
        <is>
          <t>El análisis de riesgo de un cliente (Cartera) mandaba el nombre del cliente a OpenAI; ahora manda el id</t>
        </is>
      </c>
      <c r="E117" s="51" t="inlineStr">
        <is>
          <t>Observación / defecto</t>
        </is>
      </c>
      <c r="F117" s="51" t="inlineStr">
        <is>
          <t>Terminado</t>
        </is>
      </c>
      <c r="G117" s="51" t="inlineStr">
        <is>
          <t>Alta</t>
        </is>
      </c>
      <c r="H117" s="51" t="inlineStr">
        <is>
          <t>Commit afddd1d (rama feat/modo-basico-web); tests/integration/ia_privacidad.test.js (confirmado en rojo antes del arreglo; 4 mutaciones detectadas).</t>
        </is>
      </c>
      <c r="I117" s="51" t="inlineStr">
        <is>
          <t>Subido a la rama; falta mezclar a main.</t>
        </is>
      </c>
      <c r="J117" s="51" t="inlineStr">
        <is>
          <t>Agente (Claude Code)</t>
        </is>
      </c>
      <c r="K117" s="53" t="n">
        <v>46301</v>
      </c>
      <c r="L117" s="54">
        <f>IF(K117="","",TODAY()-K117)</f>
        <v/>
      </c>
    </row>
    <row r="118" ht="23.85" customHeight="1" s="33">
      <c r="A118" s="51" t="inlineStr">
        <is>
          <t>P21-17</t>
        </is>
      </c>
      <c r="B118" s="52" t="inlineStr">
        <is>
          <t>21</t>
        </is>
      </c>
      <c r="C118" s="51" t="inlineStr">
        <is>
          <t>Pruebas</t>
        </is>
      </c>
      <c r="D118" s="51" t="inlineStr">
        <is>
          <t>generar_reporte.js escribía el reporte en Documentacion/ (carpeta que el commit a665b8c eliminó) y npm run test:evidence terminaba en verde sin generarlo</t>
        </is>
      </c>
      <c r="E118" s="51" t="inlineStr">
        <is>
          <t>Observación / defecto</t>
        </is>
      </c>
      <c r="F118" s="51" t="inlineStr">
        <is>
          <t>Terminado</t>
        </is>
      </c>
      <c r="G118" s="51" t="inlineStr">
        <is>
          <t>Media</t>
        </is>
      </c>
      <c r="H118" s="51" t="inlineStr">
        <is>
          <t>Corregido en b899d45 (rama refactor/R1-servicios-ia): ruta a docs/ y process.exitCode = 1 si falla. Reporte regenerado: 365 + 431 = 796 pruebas.</t>
        </is>
      </c>
      <c r="I118" s="51" t="inlineStr">
        <is>
          <t>Mezclado a main local el 8-oct (commit b899d45). Falta subir main.</t>
        </is>
      </c>
      <c r="J118" s="51" t="inlineStr">
        <is>
          <t>Agente (Claude Code)</t>
        </is>
      </c>
      <c r="K118" s="53" t="n">
        <v>46303</v>
      </c>
      <c r="L118" s="54">
        <f>IF(K118="","",TODAY()-K118)</f>
        <v/>
      </c>
    </row>
    <row r="119" ht="23.85" customHeight="1" s="33">
      <c r="A119" s="51" t="inlineStr">
        <is>
          <t>P21-18</t>
        </is>
      </c>
      <c r="B119" s="52" t="inlineStr">
        <is>
          <t>21</t>
        </is>
      </c>
      <c r="C119" s="51" t="inlineStr">
        <is>
          <t>Documentación</t>
        </is>
      </c>
      <c r="D119" s="51" t="inlineStr">
        <is>
          <t>El CLAUDE.md del repo todavía cita Documentacion/Reporte_Pruebas_StockPilot.md; hoy el reporte está en docs/</t>
        </is>
      </c>
      <c r="E119" s="51" t="inlineStr">
        <is>
          <t>Mantenimiento de docs</t>
        </is>
      </c>
      <c r="F119" s="51" t="inlineStr">
        <is>
          <t>Terminado</t>
        </is>
      </c>
      <c r="G119" s="51" t="inlineStr">
        <is>
          <t>Baja</t>
        </is>
      </c>
      <c r="H119" s="51" t="inlineStr">
        <is>
          <t>CLAUDE.md del repo; commit 6d7db26.</t>
        </is>
      </c>
      <c r="I119" s="51" t="inlineStr">
        <is>
          <t>Corregido el 8-oct con la aprobación de Luis.</t>
        </is>
      </c>
      <c r="J119" s="51" t="inlineStr">
        <is>
          <t>Agente (Claude Code)</t>
        </is>
      </c>
      <c r="K119" s="53" t="n">
        <v>46303</v>
      </c>
      <c r="L119" s="54">
        <f>IF(K119="","",TODAY()-K119)</f>
        <v/>
      </c>
    </row>
    <row r="120" ht="23.85" customHeight="1" s="33">
      <c r="A120" s="51" t="inlineStr">
        <is>
          <t>P21-19</t>
        </is>
      </c>
      <c r="B120" s="52" t="inlineStr">
        <is>
          <t>21</t>
        </is>
      </c>
      <c r="C120" s="51" t="inlineStr">
        <is>
          <t>Pruebas</t>
        </is>
      </c>
      <c r="D120" s="51" t="inlineStr">
        <is>
          <t>coverage.include usa utils/**/*.js, que también cuenta 4 archivos de frontend/src/utils (arqueo, menu, pedir, security2FA; 126 sentencias al 100 %) en la cobertura del backend</t>
        </is>
      </c>
      <c r="E120" s="51" t="inlineStr">
        <is>
          <t>Observación / defecto</t>
        </is>
      </c>
      <c r="F120" s="51" t="inlineStr">
        <is>
          <t>No iniciado</t>
        </is>
      </c>
      <c r="G120" s="51" t="inlineStr">
        <is>
          <t>Baja</t>
        </is>
      </c>
      <c r="H120" s="51" t="inlineStr">
        <is>
          <t>vitest.config.js. Infla cerca de un punto la cobertura combinada (73,5 % reportado).</t>
        </is>
      </c>
      <c r="I120" s="51" t="inlineStr">
        <is>
          <t>Acotar el patrón (p. ej. ./utils/**) o documentar que es intencional.</t>
        </is>
      </c>
      <c r="J120" s="51" t="n"/>
      <c r="K120" s="53" t="n">
        <v>46303</v>
      </c>
      <c r="L120" s="54">
        <f>IF(K120="","",TODAY()-K120)</f>
        <v/>
      </c>
    </row>
    <row r="121" ht="23.85" customHeight="1" s="33">
      <c r="A121" s="51" t="inlineStr">
        <is>
          <t>P21-20</t>
        </is>
      </c>
      <c r="B121" s="52" t="inlineStr">
        <is>
          <t>21</t>
        </is>
      </c>
      <c r="C121" s="51" t="inlineStr">
        <is>
          <t>Pruebas</t>
        </is>
      </c>
      <c r="D121" s="51" t="inlineStr">
        <is>
          <t>Los umbrales de cobertura unitaria (10/15/19/9) están muy por debajo de lo medido (18,3/25,5/35,1/17,1); el plan 21, sección 3, pide subirlos, nunca bajarlos</t>
        </is>
      </c>
      <c r="E121" s="51" t="inlineStr">
        <is>
          <t>Decisión pendiente</t>
        </is>
      </c>
      <c r="F121" s="51" t="inlineStr">
        <is>
          <t>Terminado</t>
        </is>
      </c>
      <c r="G121" s="51" t="inlineStr">
        <is>
          <t>Media</t>
        </is>
      </c>
      <c r="H121" s="51" t="inlineStr">
        <is>
          <t>vitest.config.js: umbrales unitarios 10/15/19/9 → 17/23/32/15 (commit 91d8537). Medido: 18,3/25,3/34,4/17,0; el control falla con código 1 si no se cumple.</t>
        </is>
      </c>
      <c r="I121" s="51" t="inlineStr">
        <is>
          <t>Aprobado por Luis el 8-oct. Regla del plan 21, sección 3: los pisos solo suben.</t>
        </is>
      </c>
      <c r="J121" s="51" t="inlineStr">
        <is>
          <t>Luis</t>
        </is>
      </c>
      <c r="K121" s="53" t="n">
        <v>46303</v>
      </c>
      <c r="L121" s="54">
        <f>IF(K121="","",TODAY()-K121)</f>
        <v/>
      </c>
    </row>
    <row r="122" ht="23.85" customHeight="1" s="33">
      <c r="A122" s="51" t="inlineStr">
        <is>
          <t>P21-21</t>
        </is>
      </c>
      <c r="B122" s="52" t="inlineStr">
        <is>
          <t>21</t>
        </is>
      </c>
      <c r="C122" s="51" t="inlineStr">
        <is>
          <t>Pruebas</t>
        </is>
      </c>
      <c r="D122" s="51" t="inlineStr">
        <is>
          <t>Zonas con poca cobertura combinada: tenderoController 6 %, dashboardController 10 %, auditController 11 %, schedulerService 12 % (correos), storeController 30 %, reportController 40 %</t>
        </is>
      </c>
      <c r="E122" s="51" t="inlineStr">
        <is>
          <t>Observación / defecto</t>
        </is>
      </c>
      <c r="F122" s="51" t="inlineStr">
        <is>
          <t>No iniciado</t>
        </is>
      </c>
      <c r="G122" s="51" t="inlineStr">
        <is>
          <t>Media</t>
        </is>
      </c>
      <c r="H122" s="51" t="inlineStr">
        <is>
          <t>Cobertura combinada del 8-oct (npm run test:coverage:combinada).</t>
        </is>
      </c>
      <c r="I122" s="51" t="inlineStr">
        <is>
          <t>Caracterizarlas antes de R2 y R3. El planificador de correos es el de mayor riesgo.</t>
        </is>
      </c>
      <c r="J122" s="51" t="n"/>
      <c r="K122" s="53" t="n">
        <v>46303</v>
      </c>
      <c r="L122" s="54">
        <f>IF(K122="","",TODAY()-K122)</f>
        <v/>
      </c>
    </row>
    <row r="123" ht="23.85" customHeight="1" s="33">
      <c r="A123" s="51" t="inlineStr">
        <is>
          <t>P21-22</t>
        </is>
      </c>
      <c r="B123" s="52" t="inlineStr">
        <is>
          <t>21</t>
        </is>
      </c>
      <c r="C123" s="51" t="inlineStr">
        <is>
          <t>Pruebas</t>
        </is>
      </c>
      <c r="D123" s="51" t="inlineStr">
        <is>
          <t>Las corridas de integración muestran MaxListenersExceededWarning (11 listeners en un Server, probablemente supertest con isolate:false)</t>
        </is>
      </c>
      <c r="E123" s="51" t="inlineStr">
        <is>
          <t>Observación / defecto</t>
        </is>
      </c>
      <c r="F123" s="51" t="inlineStr">
        <is>
          <t>No iniciado</t>
        </is>
      </c>
      <c r="G123" s="51" t="inlineStr">
        <is>
          <t>Baja</t>
        </is>
      </c>
      <c r="H123" s="51" t="inlineStr">
        <is>
          <t>Salida de npm run test:integration y de test:evidence (8-oct).</t>
        </is>
      </c>
      <c r="I123" s="51" t="inlineStr">
        <is>
          <t>Inofensivo. Ya aparecía antes del cierre de R1; no se verificó si es anterior a R1.</t>
        </is>
      </c>
      <c r="J123" s="51" t="n"/>
      <c r="K123" s="53" t="n">
        <v>46303</v>
      </c>
      <c r="L123" s="54">
        <f>IF(K123="","",TODAY()-K123)</f>
        <v/>
      </c>
    </row>
  </sheetData>
  <autoFilter ref="A4:L117"/>
  <mergeCells count="1">
    <mergeCell ref="A2:L2"/>
  </mergeCells>
  <conditionalFormatting sqref="A5:L308">
    <cfRule type="expression" rank="0" priority="2" equalAverage="0" aboveAverage="0" dxfId="14" text="" percent="0" bottom="0">
      <formula>$F5="No iniciado"</formula>
    </cfRule>
    <cfRule type="expression" rank="0" priority="3" equalAverage="0" aboveAverage="0" dxfId="15" text="" percent="0" bottom="0">
      <formula>$F5="En progreso"</formula>
    </cfRule>
    <cfRule type="expression" rank="0" priority="4" equalAverage="0" aboveAverage="0" dxfId="16" text="" percent="0" bottom="0">
      <formula>$F5="Parcial"</formula>
    </cfRule>
    <cfRule type="expression" rank="0" priority="5" equalAverage="0" aboveAverage="0" dxfId="17" text="" percent="0" bottom="0">
      <formula>$F5="Terminado"</formula>
    </cfRule>
    <cfRule type="expression" rank="0" priority="6" equalAverage="0" aboveAverage="0" dxfId="18" text="" percent="0" bottom="0">
      <formula>$F5="Bloqueado"</formula>
    </cfRule>
    <cfRule type="expression" rank="0" priority="7" equalAverage="0" aboveAverage="0" dxfId="19" text="" percent="0" bottom="0">
      <formula>$F5="Descartado"</formula>
    </cfRule>
    <cfRule type="expression" rank="0" priority="8" equalAverage="0" aboveAverage="0" dxfId="20" text="" percent="0" bottom="0">
      <formula>$F5="Por verificar"</formula>
    </cfRule>
  </conditionalFormatting>
  <conditionalFormatting sqref="G5:G308">
    <cfRule type="expression" rank="0" priority="9" equalAverage="0" aboveAverage="0" dxfId="21" text="" percent="0" bottom="0">
      <formula>AND($G5="Alta",$F5&lt;&gt;"Terminado",$F5&lt;&gt;"Descartado")</formula>
    </cfRule>
  </conditionalFormatting>
  <dataValidations count="5">
    <dataValidation sqref="F5:F308" showDropDown="0" showInputMessage="0" showErrorMessage="1" allowBlank="1" errorTitle="Valor no válido" error="Elija un valor de la lista." type="list" errorStyle="stop" operator="between">
      <formula1>"No iniciado,En progreso,Parcial,Terminado,Bloqueado,Descartado,Por verificar"</formula1>
      <formula2>0</formula2>
    </dataValidation>
    <dataValidation sqref="G5:G308" showDropDown="0" showInputMessage="0" showErrorMessage="1" allowBlank="1" errorTitle="Valor no válido" error="Elija un valor de la lista." type="list" errorStyle="stop" operator="between">
      <formula1>"Alta,Media,Baja"</formula1>
      <formula2>0</formula2>
    </dataValidation>
    <dataValidation sqref="E5:E308" showDropDown="0" showInputMessage="0" showErrorMessage="1" allowBlank="1" errorTitle="Valor no válido" error="Elija un valor de la lista." type="list" errorStyle="stop" operator="between">
      <formula1>"Pendiente del plan,Observación / defecto,Trabajo futuro,Decisión pendiente,Mantenimiento de docs"</formula1>
      <formula2>0</formula2>
    </dataValidation>
    <dataValidation sqref="J5:J308" showDropDown="0" showInputMessage="0" showErrorMessage="1" allowBlank="1" errorTitle="Valor no válido" error="Elija un valor de la lista." type="list" errorStyle="stop" operator="between">
      <formula1>"Luis,Elizabeth,Miguel,Equipo,Agente (Claude Code)"</formula1>
      <formula2>0</formula2>
    </dataValidation>
    <dataValidation sqref="K5:K308" showDropDown="0" showInputMessage="0" showErrorMessage="1" allowBlank="1" error="Escriba una fecha (dd-mm-aaaa)." type="date" errorStyle="stop" operator="greaterThan">
      <formula1>DATE(2026,1,1)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3A3F6E"/>
    <outlinePr summaryBelow="1" summaryRight="1"/>
    <pageSetUpPr fitToPage="0"/>
  </sheetPr>
  <dimension ref="A1:F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2" min="1" max="1"/>
    <col width="10" customWidth="1" style="32" min="2" max="2"/>
    <col width="15" customWidth="1" style="32" min="3" max="4"/>
    <col width="18" customWidth="1" style="32" min="5" max="5"/>
    <col width="70" customWidth="1" style="32" min="6" max="6"/>
  </cols>
  <sheetData>
    <row r="1" ht="17.35" customHeight="1" s="33">
      <c r="A1" s="34" t="inlineStr">
        <is>
          <t>Bitácora de cambios</t>
        </is>
      </c>
    </row>
    <row r="2" ht="15" customHeight="1" s="33">
      <c r="A2" s="35" t="inlineStr">
        <is>
          <t>Una fila por cada cambio de estado. Así queda el rastro de quién movió qué y por qué.</t>
        </is>
      </c>
    </row>
    <row r="4" ht="15" customHeight="1" s="33">
      <c r="A4" s="55" t="inlineStr">
        <is>
          <t>Fecha</t>
        </is>
      </c>
      <c r="B4" s="55" t="inlineStr">
        <is>
          <t>ID</t>
        </is>
      </c>
      <c r="C4" s="55" t="inlineStr">
        <is>
          <t>Estado anterior</t>
        </is>
      </c>
      <c r="D4" s="55" t="inlineStr">
        <is>
          <t>Estado nuevo</t>
        </is>
      </c>
      <c r="E4" s="55" t="inlineStr">
        <is>
          <t>Quién</t>
        </is>
      </c>
      <c r="F4" s="55" t="inlineStr">
        <is>
          <t>Comentario / evidencia (commit, PR, captura)</t>
        </is>
      </c>
    </row>
    <row r="5" ht="23.85" customHeight="1" s="33">
      <c r="A5" s="53" t="n">
        <v>46292</v>
      </c>
      <c r="B5" s="51" t="inlineStr">
        <is>
          <t>—</t>
        </is>
      </c>
      <c r="C5" s="51" t="inlineStr">
        <is>
          <t>—</t>
        </is>
      </c>
      <c r="D5" s="51" t="inlineStr">
        <is>
          <t>—</t>
        </is>
      </c>
      <c r="E5" s="51" t="inlineStr">
        <is>
          <t>Agente (Claude Code)</t>
        </is>
      </c>
      <c r="F5" s="51" t="inlineStr">
        <is>
          <t>Creación del seguimiento: revisión de los planes 01 a 21 contra el código de main.</t>
        </is>
      </c>
    </row>
    <row r="6" ht="35.05" customHeight="1" s="33">
      <c r="A6" s="53" t="n">
        <v>46293</v>
      </c>
      <c r="B6" s="51" t="inlineStr">
        <is>
          <t>P02-01, P19, P22</t>
        </is>
      </c>
      <c r="C6" s="51" t="inlineStr">
        <is>
          <t>—</t>
        </is>
      </c>
      <c r="D6" s="51" t="inlineStr">
        <is>
          <t>No iniciado</t>
        </is>
      </c>
      <c r="E6" s="51" t="inlineStr">
        <is>
          <t>Agente (Claude Code)</t>
        </is>
      </c>
      <c r="F6" s="51" t="inlineStr">
        <is>
          <t>Plan 22 (panel interno y funciones por tienda): se agregan sus fases, dos decisiones de métricas, el hallazgo de seguridad de las rutas de tienda y el error de la columna fecha_creacion en la métrica de activación.</t>
        </is>
      </c>
    </row>
    <row r="7" ht="23.85" customHeight="1" s="33">
      <c r="A7" s="53" t="n">
        <v>46293</v>
      </c>
      <c r="B7" s="51" t="inlineStr">
        <is>
          <t>P22-06, P22-07</t>
        </is>
      </c>
      <c r="C7" s="51" t="inlineStr">
        <is>
          <t>No iniciado</t>
        </is>
      </c>
      <c r="D7" s="51" t="inlineStr">
        <is>
          <t>Terminado</t>
        </is>
      </c>
      <c r="E7" s="51" t="inlineStr">
        <is>
          <t>Luis</t>
        </is>
      </c>
      <c r="F7" s="51" t="inlineStr">
        <is>
          <t>Decisiones de métricas: activación = al menos 20 productos y ventas en 5 de los primeros 7 días; los días de apertura se preguntan en el registro.</t>
        </is>
      </c>
    </row>
    <row r="8" ht="68.65000000000001" customHeight="1" s="33">
      <c r="A8" s="53" t="n">
        <v>46293</v>
      </c>
      <c r="B8" s="51" t="inlineStr">
        <is>
          <t>P21-01, P22-01, P21-09 a P21-13, P22-09, P22-10</t>
        </is>
      </c>
      <c r="C8" s="51" t="inlineStr">
        <is>
          <t>No iniciado</t>
        </is>
      </c>
      <c r="D8" s="51" t="inlineStr">
        <is>
          <t>Por verificar</t>
        </is>
      </c>
      <c r="E8" s="51" t="inlineStr">
        <is>
          <t>Agente (Claude Code)</t>
        </is>
      </c>
      <c r="F8" s="51" t="inlineStr">
        <is>
          <t>R0 del plan 21 terminado en la rama test/plan21-r0-caracterizacion (48 pruebas, sin cambios de producción, sin merge). I0 pasa a En progreso y se amplía a auditoría de autorización. Se agregan los hallazgos de R0: egresos entre tiendas, verify-reset-code sin limitador, recepción sin tope, contadores compartidos en las pruebas (resuelto en la rama), código muerto en bulkUpload y skip inerte de globalLimiter.</t>
        </is>
      </c>
    </row>
    <row r="9" ht="68.65000000000001" customHeight="1" s="33">
      <c r="A9" s="53" t="n">
        <v>46293</v>
      </c>
      <c r="B9" s="51" t="inlineStr">
        <is>
          <t>P21-01, P21-11, P22-09, P22-10 y hallazgos de I0</t>
        </is>
      </c>
      <c r="C9" s="51" t="inlineStr">
        <is>
          <t>Por verificar / No iniciado</t>
        </is>
      </c>
      <c r="D9" s="51" t="inlineStr">
        <is>
          <t>Terminado</t>
        </is>
      </c>
      <c r="E9" s="51" t="inlineStr">
        <is>
          <t>Agente (Claude Code)</t>
        </is>
      </c>
      <c r="F9" s="51" t="inlineStr">
        <is>
          <t>Mezclados y subidos el 28-sep: R0, P22-09 con regla de estados, rutas de tienda, eliminación de la semilla en producción y C1 a C3. Matriz de roles decidida (D1 a D4 = solo Administrador).</t>
        </is>
      </c>
    </row>
    <row r="10" ht="46.25" customHeight="1" s="33">
      <c r="A10" s="53" t="n">
        <v>46298</v>
      </c>
      <c r="B10" s="51" t="inlineStr">
        <is>
          <t>P22-01, C6, C7, P19 (respaldos)</t>
        </is>
      </c>
      <c r="C10" s="51" t="inlineStr">
        <is>
          <t>En progreso / No iniciado</t>
        </is>
      </c>
      <c r="D10" s="51" t="inlineStr">
        <is>
          <t>Terminado</t>
        </is>
      </c>
      <c r="E10" s="51" t="inlineStr">
        <is>
          <t>Agente (Claude Code)</t>
        </is>
      </c>
      <c r="F10" s="51" t="inlineStr">
        <is>
          <t>Mezclados y subidos el 3-oct: C6, I0 completo (incluye C7) y respaldo externo en GitHub Actions (postgres:18). Restauración verificada, según Luis.</t>
        </is>
      </c>
    </row>
    <row r="11" ht="57.45" customHeight="1" s="33">
      <c r="A11" s="53" t="n">
        <v>46298</v>
      </c>
      <c r="B11" s="51" t="inlineStr">
        <is>
          <t>P07, P19 (modo básico), P21-R1/R3/T, P22-I3</t>
        </is>
      </c>
      <c r="C11" s="51" t="inlineStr">
        <is>
          <t>—</t>
        </is>
      </c>
      <c r="D11" s="51" t="inlineStr">
        <is>
          <t>—</t>
        </is>
      </c>
      <c r="E11" s="51" t="inlineStr">
        <is>
          <t>Luis</t>
        </is>
      </c>
      <c r="F11" s="51" t="inlineStr">
        <is>
          <t>La app nativa del Tendero se adelanta para la visita a las tiendas piloto (semana del 5-oct). Repositorio aparte, Android primero. Nuevo orden en el plan 22, sección 5.</t>
        </is>
      </c>
    </row>
    <row r="12" s="33">
      <c r="A12" s="53" t="n">
        <v>46301</v>
      </c>
      <c r="B12" s="32" t="inlineStr">
        <is>
          <t>P07-01, P07-02, P07-03, P19-06, P19-07, P21-04, P21-09, P21-13, P21-14, P22-04, P22-05</t>
        </is>
      </c>
      <c r="C12" s="32" t="inlineStr">
        <is>
          <t>—</t>
        </is>
      </c>
      <c r="D12" s="32" t="inlineStr">
        <is>
          <t>—</t>
        </is>
      </c>
      <c r="E12" s="32" t="inlineStr">
        <is>
          <t>Luis</t>
        </is>
      </c>
      <c r="F12" s="32" t="inlineStr">
        <is>
          <t>Cambio de rumbo (6-oct): el piloto y la visita van con la web en modo básico (plan 19, 3.4, fases A, B y C; /pedir solo Administrador); la app nativa sigue en paralelo y se presenta en la sustentación (nov.). Panel (I1, I2, I4) antes del piloto, con encuesta de satisfacción. Revierte la decisión del 3-oct. Además, P07-02, P21-09, P21-13 y P21-14 pasan a Terminado: ya están en main (merge cb028d9, verificado con git log).</t>
        </is>
      </c>
    </row>
    <row r="13" s="33">
      <c r="A13" s="53" t="n">
        <v>46301</v>
      </c>
      <c r="B13" s="32" t="inlineStr">
        <is>
          <t>P19-06, P11-02, P23-01 a P23-09</t>
        </is>
      </c>
      <c r="C13" s="32" t="inlineStr">
        <is>
          <t>—</t>
        </is>
      </c>
      <c r="D13" s="32" t="inlineStr">
        <is>
          <t>—</t>
        </is>
      </c>
      <c r="E13" s="32" t="inlineStr">
        <is>
          <t>Luis</t>
        </is>
      </c>
      <c r="F13" s="32" t="inlineStr">
        <is>
          <t>Decisiones del 6-oct: la IA va disponible pero opcional (oculta en el modo básico); se invertirá en corregir el evaluador y medir, contexto real al ajuste y lectura de facturas (plan 23); privacidad primero. Modo básico A, B y C implementado en la rama feat/modo-basico-web (subida). Arreglo de privacidad de Cartera (afddd1d) terminado. Rama del backend y 4 ramas de la app subidas; main sin tocar.</t>
        </is>
      </c>
    </row>
    <row r="14" s="33">
      <c r="A14" s="53" t="n">
        <v>46301</v>
      </c>
      <c r="B14" s="32" t="inlineStr">
        <is>
          <t>P23-08</t>
        </is>
      </c>
      <c r="C14" s="32" t="inlineStr">
        <is>
          <t>No iniciado</t>
        </is>
      </c>
      <c r="D14" s="32" t="inlineStr">
        <is>
          <t>En progreso</t>
        </is>
      </c>
      <c r="E14" s="32" t="inlineStr">
        <is>
          <t>Agente (Claude Code)</t>
        </is>
      </c>
      <c r="F14" s="32" t="inlineStr">
        <is>
          <t>Borrador de las secciones corregidas sobre el alcance de la IA, con el formato del documento «Secciones corregidas v2»: Documentacion/StockPilot_Secciones_corregidas_sobre_la_IA.docx (21 recuadros de instrucción, 4 tablas). Pendiente de que Luis lo aplique.</t>
        </is>
      </c>
    </row>
    <row r="15" s="33">
      <c r="A15" s="53" t="n">
        <v>46301</v>
      </c>
      <c r="B15" s="32" t="inlineStr">
        <is>
          <t>P23-08</t>
        </is>
      </c>
      <c r="C15" s="32" t="inlineStr">
        <is>
          <t>En progreso</t>
        </is>
      </c>
      <c r="D15" s="32" t="inlineStr">
        <is>
          <t>En progreso</t>
        </is>
      </c>
      <c r="E15" s="32" t="inlineStr">
        <is>
          <t>Agente (Claude Code)</t>
        </is>
      </c>
      <c r="F15" s="32" t="inlineStr">
        <is>
          <t>Se consolidó todo en Documentacion/Revision_Documento_Practica_5_v2.docx (24 páginas en Word, 10 tablas): revisión del 26-sep actualizada al 6-oct (pruebas 287 + 407, 28,2 KLOC, escáner, rol «Colaborador»), reglas de alertas, textos de la IA, novedades y correcciones a Plan de Negocio, Intervención y Herramientas. Se retira el borrador anterior «Secciones corregidas sobre la IA».</t>
        </is>
      </c>
    </row>
    <row r="16" s="33">
      <c r="A16" s="53" t="n">
        <v>46303</v>
      </c>
      <c r="B16" s="32" t="inlineStr">
        <is>
          <t>P21-02, P21-17 a P21-22</t>
        </is>
      </c>
      <c r="C16" s="32" t="inlineStr">
        <is>
          <t>No iniciado / —</t>
        </is>
      </c>
      <c r="D16" s="32" t="inlineStr">
        <is>
          <t>Por verificar / No iniciado</t>
        </is>
      </c>
      <c r="E16" s="32" t="inlineStr">
        <is>
          <t>Agente (Claude Code)</t>
        </is>
      </c>
      <c r="F16" s="32" t="inlineStr">
        <is>
          <t>R1 del plan 21 hecha en la rama refactor/R1-servicios-ia (6 commits, sin mezclar a main): aiController 901 → 152 líneas, cliente único de OpenAI, services/ia con 14 módulos. 365 unitarias + 431 de integración en verde (796 en el reporte); cobertura combinada 73,5 %. Hallazgos nuevos P21-17 a P21-22: reporte de pruebas en carpeta inexistente (corregido en la rama), ruta vieja en CLAUDE.md, umbrales de cobertura por subir (decisión de Luis), zonas con poca cobertura.</t>
        </is>
      </c>
    </row>
    <row r="17" s="33">
      <c r="A17" s="53" t="n">
        <v>46303</v>
      </c>
      <c r="B17" s="32" t="inlineStr">
        <is>
          <t>P21-02, P21-17, P21-18, P21-20</t>
        </is>
      </c>
      <c r="C17" s="32" t="inlineStr">
        <is>
          <t>Por verificar / No iniciado</t>
        </is>
      </c>
      <c r="D17" s="32" t="inlineStr">
        <is>
          <t>Terminado</t>
        </is>
      </c>
      <c r="E17" s="32" t="inlineStr">
        <is>
          <t>Luis</t>
        </is>
      </c>
      <c r="F17" s="32" t="inlineStr">
        <is>
          <t>Luis aprueba R1 y manda mezclarla (8-oct): merge --no-ff a main local; la rama refactor/R1-servicios-ia se sube como evidencia. Aprueba también subir los umbrales de cobertura (17/23/32/15) y corregir la ruta vieja del CLAUDE.md. origin/main no se actualiza todavía: main local lleva 5 commits previos sin subir (incluido el 2FA en CRUD, ec4d48c) y no se sabe si subir main despliega durante el congelamiento. Regla de Luis: cada plan nuevo debe quedar subido, es la evidencia del desarrollo.</t>
        </is>
      </c>
    </row>
  </sheetData>
  <dataValidations count="3">
    <dataValidation sqref="C12:C500" showDropDown="0" showInputMessage="0" showErrorMessage="0" allowBlank="1" type="list" errorStyle="stop" operator="between">
      <formula1>"No iniciado,En progreso,Parcial,Terminado,Bloqueado,Descartado,Por verificar"</formula1>
      <formula2>0</formula2>
    </dataValidation>
    <dataValidation sqref="D12:D500" showDropDown="0" showInputMessage="0" showErrorMessage="0" allowBlank="1" type="list" errorStyle="stop" operator="between">
      <formula1>"No iniciado,En progreso,Parcial,Terminado,Bloqueado,Descartado,Por verificar"</formula1>
      <formula2>0</formula2>
    </dataValidation>
    <dataValidation sqref="E12:E500" showDropDown="0" showInputMessage="0" showErrorMessage="0" allowBlank="1" type="list" errorStyle="stop" operator="between">
      <formula1>"Luis,Elizabeth,Miguel,Equipo,Agente (Claude Code)"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C9CEE3"/>
    <outlinePr summaryBelow="1" summaryRight="1"/>
    <pageSetUpPr fitToPage="0"/>
  </sheetPr>
  <dimension ref="A1:C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32" min="1" max="1"/>
    <col width="24" customWidth="1" style="32" min="2" max="2"/>
    <col width="80" customWidth="1" style="32" min="3" max="3"/>
  </cols>
  <sheetData>
    <row r="1" ht="17.35" customHeight="1" s="33">
      <c r="A1" s="34" t="inlineStr">
        <is>
          <t>Cómo usar este archivo</t>
        </is>
      </c>
    </row>
    <row r="3" ht="15" customHeight="1" s="33">
      <c r="A3" s="47" t="inlineStr">
        <is>
          <t>Estado</t>
        </is>
      </c>
      <c r="B3" s="56" t="inlineStr">
        <is>
          <t>No iniciado</t>
        </is>
      </c>
      <c r="C3" s="57" t="inlineStr">
        <is>
          <t>Nadie ha empezado.</t>
        </is>
      </c>
    </row>
    <row r="4" ht="15" customHeight="1" s="33">
      <c r="A4" s="47" t="n"/>
      <c r="B4" s="58" t="inlineStr">
        <is>
          <t>En progreso</t>
        </is>
      </c>
      <c r="C4" s="57" t="inlineStr">
        <is>
          <t>Alguien está trabajando en esto ahora (anote el responsable).</t>
        </is>
      </c>
    </row>
    <row r="5" ht="15" customHeight="1" s="33">
      <c r="A5" s="47" t="n"/>
      <c r="B5" s="59" t="inlineStr">
        <is>
          <t>Parcial</t>
        </is>
      </c>
      <c r="C5" s="57" t="inlineStr">
        <is>
          <t>Existe una parte; la fila explica qué falta.</t>
        </is>
      </c>
    </row>
    <row r="6" ht="15" customHeight="1" s="33">
      <c r="A6" s="47" t="n"/>
      <c r="B6" s="60" t="inlineStr">
        <is>
          <t>Terminado</t>
        </is>
      </c>
      <c r="C6" s="57" t="inlineStr">
        <is>
          <t>Hecho y verificado. Anote la evidencia en la Bitácora.</t>
        </is>
      </c>
    </row>
    <row r="7" ht="15" customHeight="1" s="33">
      <c r="A7" s="47" t="n"/>
      <c r="B7" s="61" t="inlineStr">
        <is>
          <t>Bloqueado</t>
        </is>
      </c>
      <c r="C7" s="57" t="inlineStr">
        <is>
          <t>No se puede avanzar hasta que se resuelva otra cosa (anótela en Notas).</t>
        </is>
      </c>
    </row>
    <row r="8" ht="15" customHeight="1" s="33">
      <c r="A8" s="47" t="n"/>
      <c r="B8" s="62" t="inlineStr">
        <is>
          <t>Descartado</t>
        </is>
      </c>
      <c r="C8" s="57" t="inlineStr">
        <is>
          <t>Se decidió no hacerlo; la fila dice por qué.</t>
        </is>
      </c>
    </row>
    <row r="9" ht="15" customHeight="1" s="33">
      <c r="A9" s="47" t="n"/>
      <c r="B9" s="63" t="inlineStr">
        <is>
          <t>Por verificar</t>
        </is>
      </c>
      <c r="C9" s="57" t="inlineStr">
        <is>
          <t>Puede estar hecho, pero hay que comprobarlo (por ejemplo, en producción).</t>
        </is>
      </c>
    </row>
    <row r="10" ht="15" customHeight="1" s="33">
      <c r="A10" s="47" t="inlineStr">
        <is>
          <t>Tipo</t>
        </is>
      </c>
      <c r="B10" s="57" t="inlineStr">
        <is>
          <t>Pendiente del plan</t>
        </is>
      </c>
      <c r="C10" s="57" t="inlineStr">
        <is>
          <t>Algo que el plan proponía hacer.</t>
        </is>
      </c>
    </row>
    <row r="11" ht="15" customHeight="1" s="33">
      <c r="A11" s="47" t="n"/>
      <c r="B11" s="57" t="inlineStr">
        <is>
          <t>Observación / defecto</t>
        </is>
      </c>
      <c r="C11" s="57" t="inlineStr">
        <is>
          <t>Un problema que el plan encontró de pasada, sin corregir.</t>
        </is>
      </c>
    </row>
    <row r="12" ht="15" customHeight="1" s="33">
      <c r="A12" s="47" t="n"/>
      <c r="B12" s="57" t="inlineStr">
        <is>
          <t>Trabajo futuro</t>
        </is>
      </c>
      <c r="C12" s="57" t="inlineStr">
        <is>
          <t>Idea para después del lanzamiento o de la entrega académica.</t>
        </is>
      </c>
    </row>
    <row r="13" ht="15" customHeight="1" s="33">
      <c r="A13" s="47" t="n"/>
      <c r="B13" s="57" t="inlineStr">
        <is>
          <t>Decisión pendiente</t>
        </is>
      </c>
      <c r="C13" s="57" t="inlineStr">
        <is>
          <t>Hace falta que el equipo decida antes de implementar.</t>
        </is>
      </c>
    </row>
    <row r="14" ht="15" customHeight="1" s="33">
      <c r="A14" s="47" t="n"/>
      <c r="B14" s="57" t="inlineStr">
        <is>
          <t>Mantenimiento de docs</t>
        </is>
      </c>
      <c r="C14" s="57" t="inlineStr">
        <is>
          <t>El documento del plan quedó desactualizado frente al código.</t>
        </is>
      </c>
    </row>
    <row r="15" ht="15" customHeight="1" s="33">
      <c r="A15" s="47" t="inlineStr">
        <is>
          <t>ID</t>
        </is>
      </c>
      <c r="B15" s="57" t="inlineStr">
        <is>
          <t>P19-03</t>
        </is>
      </c>
      <c r="C15" s="57" t="inlineStr">
        <is>
          <t>Plan 19, tercer pendiente. Las filas nuevas pueden seguir la misma regla.</t>
        </is>
      </c>
    </row>
    <row r="16" ht="15" customHeight="1" s="33">
      <c r="A16" s="47" t="inlineStr">
        <is>
          <t>Días sin actualizar</t>
        </is>
      </c>
      <c r="B16" s="57" t="inlineStr">
        <is>
          <t>Fórmula</t>
        </is>
      </c>
      <c r="C16" s="57" t="inlineStr">
        <is>
          <t>Días desde la última actualización; sirve para ver lo que quedó olvidado.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2026-10-04T03:12:55Z</dcterms:created>
  <dcterms:modified xmlns:dcterms="http://purl.org/dc/terms/" xmlns:xsi="http://www.w3.org/2001/XMLSchema-instance" xsi:type="dcterms:W3CDTF">2026-10-08T19:08:25Z</dcterms:modified>
  <cp:revision>0</cp:revision>
</cp:coreProperties>
</file>