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Pendientes" sheetId="2" state="visible" r:id="rId2"/>
    <sheet xmlns:r="http://schemas.openxmlformats.org/officeDocument/2006/relationships" name="Bitácora" sheetId="3" state="visible" r:id="rId3"/>
    <sheet xmlns:r="http://schemas.openxmlformats.org/officeDocument/2006/relationships" name="Leyenda" sheetId="4" state="visible" r:id="rId4"/>
  </sheets>
  <definedNames>
    <definedName name="_xlnm._FilterDatabase" localSheetId="1" hidden="1">'Pendientes'!$A$4:$L$163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4173F"/>
      <sz val="14"/>
    </font>
    <font>
      <name val="Arial"/>
      <charset val="1"/>
      <family val="0"/>
      <i val="1"/>
      <color rgb="FF3A3F6E"/>
      <sz val="9"/>
    </font>
    <font>
      <name val="Arial"/>
      <charset val="1"/>
      <family val="0"/>
      <b val="1"/>
      <color rgb="FFFFFFFF"/>
      <sz val="10"/>
    </font>
    <font>
      <name val="Arial"/>
      <charset val="1"/>
      <family val="0"/>
      <b val="1"/>
      <color rgb="FF3A3F6E"/>
      <sz val="11"/>
    </font>
    <font>
      <name val="Arial"/>
      <charset val="1"/>
      <family val="0"/>
      <color rgb="FF14173F"/>
      <sz val="10"/>
    </font>
    <font>
      <name val="Arial"/>
      <charset val="1"/>
      <family val="0"/>
      <b val="1"/>
      <color rgb="FF252C93"/>
      <sz val="11"/>
    </font>
    <font>
      <name val="Arial"/>
      <charset val="1"/>
      <family val="0"/>
      <b val="1"/>
      <color rgb="FF8A5300"/>
      <sz val="11"/>
    </font>
    <font>
      <name val="Arial"/>
      <charset val="1"/>
      <family val="0"/>
      <b val="1"/>
      <color rgb="FF0B6B45"/>
      <sz val="11"/>
    </font>
    <font>
      <name val="Arial"/>
      <charset val="1"/>
      <family val="0"/>
      <b val="1"/>
      <color rgb="FFB42A26"/>
      <sz val="11"/>
    </font>
    <font>
      <name val="Arial"/>
      <charset val="1"/>
      <family val="0"/>
      <b val="1"/>
      <color rgb="FF6B6B6B"/>
      <sz val="11"/>
    </font>
    <font>
      <name val="Arial"/>
      <charset val="1"/>
      <family val="0"/>
      <b val="1"/>
      <color rgb="FF14173F"/>
      <sz val="11"/>
    </font>
  </fonts>
  <fills count="10">
    <fill>
      <patternFill/>
    </fill>
    <fill>
      <patternFill patternType="gray125"/>
    </fill>
    <fill>
      <patternFill patternType="solid">
        <fgColor rgb="FF14173F"/>
        <bgColor rgb="FF000000"/>
      </patternFill>
    </fill>
    <fill>
      <patternFill patternType="solid">
        <fgColor rgb="FFF1F2F6"/>
        <bgColor rgb="FFE6E6E6"/>
      </patternFill>
    </fill>
    <fill>
      <patternFill patternType="solid">
        <fgColor rgb="FFDCE0F7"/>
        <bgColor rgb="FFE6E6E6"/>
      </patternFill>
    </fill>
    <fill>
      <patternFill patternType="solid">
        <fgColor rgb="FFFFF1BF"/>
        <bgColor rgb="FFFFE8C7"/>
      </patternFill>
    </fill>
    <fill>
      <patternFill patternType="solid">
        <fgColor rgb="FFD6EEE3"/>
        <bgColor rgb="FFE6E6E6"/>
      </patternFill>
    </fill>
    <fill>
      <patternFill patternType="solid">
        <fgColor rgb="FFF7DAD9"/>
        <bgColor rgb="FFFFE8C7"/>
      </patternFill>
    </fill>
    <fill>
      <patternFill patternType="solid">
        <fgColor rgb="FFE6E6E6"/>
        <bgColor rgb="FFDCE0F7"/>
      </patternFill>
    </fill>
    <fill>
      <patternFill patternType="solid">
        <fgColor rgb="FFFFE8C7"/>
        <bgColor rgb="FFFFF1BF"/>
      </patternFill>
    </fill>
  </fills>
  <borders count="2">
    <border>
      <left/>
      <right/>
      <top/>
      <bottom/>
      <diagonal/>
    </border>
    <border>
      <left style="thin">
        <color rgb="FFC9CEE3"/>
      </left>
      <right style="thin">
        <color rgb="FFC9CEE3"/>
      </right>
      <top style="thin">
        <color rgb="FFC9CEE3"/>
      </top>
      <bottom style="thin">
        <color rgb="FFC9CE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6">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bottom" wrapText="1"/>
    </xf>
    <xf numFmtId="0" fontId="7" fillId="3" borderId="1" applyAlignment="1" pivotButton="0" quotePrefix="0" xfId="0">
      <alignment horizontal="general" vertical="bottom"/>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0" borderId="1" applyAlignment="1" pivotButton="0" quotePrefix="0" xfId="0">
      <alignment horizontal="center" vertical="bottom"/>
    </xf>
    <xf numFmtId="0" fontId="9" fillId="4" borderId="1" applyAlignment="1" pivotButton="0" quotePrefix="0" xfId="0">
      <alignment horizontal="general" vertical="bottom"/>
    </xf>
    <xf numFmtId="0" fontId="10" fillId="5" borderId="1" applyAlignment="1" pivotButton="0" quotePrefix="0" xfId="0">
      <alignment horizontal="general" vertical="bottom"/>
    </xf>
    <xf numFmtId="0" fontId="11" fillId="6" borderId="1" applyAlignment="1" pivotButton="0" quotePrefix="0" xfId="0">
      <alignment horizontal="general" vertical="bottom"/>
    </xf>
    <xf numFmtId="0" fontId="12" fillId="7" borderId="1" applyAlignment="1" pivotButton="0" quotePrefix="0" xfId="0">
      <alignment horizontal="general" vertical="bottom"/>
    </xf>
    <xf numFmtId="0" fontId="13" fillId="8" borderId="1" applyAlignment="1" pivotButton="0" quotePrefix="0" xfId="0">
      <alignment horizontal="general" vertical="bottom"/>
    </xf>
    <xf numFmtId="0" fontId="10" fillId="9" borderId="1" applyAlignment="1" pivotButton="0" quotePrefix="0" xfId="0">
      <alignment horizontal="general" vertical="bottom"/>
    </xf>
    <xf numFmtId="0" fontId="14" fillId="0" borderId="0" applyAlignment="1" pivotButton="0" quotePrefix="0" xfId="0">
      <alignment horizontal="general" vertical="bottom"/>
    </xf>
    <xf numFmtId="0" fontId="9" fillId="0" borderId="0" applyAlignment="1" pivotButton="0" quotePrefix="0" xfId="0">
      <alignment horizontal="general" vertical="bottom"/>
    </xf>
    <xf numFmtId="0" fontId="12"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164" fontId="8" fillId="0" borderId="1" applyAlignment="1" pivotButton="0" quotePrefix="0" xfId="0">
      <alignment horizontal="general" vertical="top" wrapText="1"/>
    </xf>
    <xf numFmtId="1" fontId="8" fillId="0" borderId="1" applyAlignment="1" pivotButton="0" quotePrefix="0" xfId="0">
      <alignment horizontal="general" vertical="top" wrapText="1"/>
    </xf>
    <xf numFmtId="0" fontId="6" fillId="2" borderId="1" applyAlignment="1" pivotButton="0" quotePrefix="0" xfId="0">
      <alignment horizontal="general" vertical="bottom"/>
    </xf>
    <xf numFmtId="0" fontId="0" fillId="0" borderId="0" applyAlignment="1" pivotButton="0" quotePrefix="0" xfId="0">
      <alignment horizontal="general" vertical="bottom"/>
    </xf>
    <xf numFmtId="0" fontId="7" fillId="3" borderId="0" applyAlignment="1" pivotButton="0" quotePrefix="0" xfId="0">
      <alignment horizontal="general" vertical="bottom"/>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10" fillId="5" borderId="0" applyAlignment="1" pivotButton="0" quotePrefix="0" xfId="0">
      <alignment horizontal="general" vertical="bottom"/>
    </xf>
    <xf numFmtId="0" fontId="11" fillId="6" borderId="0" applyAlignment="1" pivotButton="0" quotePrefix="0" xfId="0">
      <alignment horizontal="general" vertical="bottom"/>
    </xf>
    <xf numFmtId="0" fontId="12" fillId="7" borderId="0" applyAlignment="1" pivotButton="0" quotePrefix="0" xfId="0">
      <alignment horizontal="general" vertical="bottom"/>
    </xf>
    <xf numFmtId="0" fontId="13" fillId="8" borderId="0" applyAlignment="1" pivotButton="0" quotePrefix="0" xfId="0">
      <alignment horizontal="general" vertical="bottom"/>
    </xf>
    <xf numFmtId="0" fontId="10" fillId="9"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bottom" wrapText="1"/>
    </xf>
    <xf numFmtId="0" fontId="7" fillId="3" borderId="1" applyAlignment="1" pivotButton="0" quotePrefix="0" xfId="0">
      <alignment horizontal="general" vertical="bottom"/>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0" borderId="1" applyAlignment="1" pivotButton="0" quotePrefix="0" xfId="0">
      <alignment horizontal="center" vertical="bottom"/>
    </xf>
    <xf numFmtId="0" fontId="9" fillId="4" borderId="1" applyAlignment="1" pivotButton="0" quotePrefix="0" xfId="0">
      <alignment horizontal="general" vertical="bottom"/>
    </xf>
    <xf numFmtId="0" fontId="10" fillId="5" borderId="1" applyAlignment="1" pivotButton="0" quotePrefix="0" xfId="0">
      <alignment horizontal="general" vertical="bottom"/>
    </xf>
    <xf numFmtId="0" fontId="11" fillId="6" borderId="1" applyAlignment="1" pivotButton="0" quotePrefix="0" xfId="0">
      <alignment horizontal="general" vertical="bottom"/>
    </xf>
    <xf numFmtId="0" fontId="12" fillId="7" borderId="1" applyAlignment="1" pivotButton="0" quotePrefix="0" xfId="0">
      <alignment horizontal="general" vertical="bottom"/>
    </xf>
    <xf numFmtId="0" fontId="13" fillId="8" borderId="1" applyAlignment="1" pivotButton="0" quotePrefix="0" xfId="0">
      <alignment horizontal="general" vertical="bottom"/>
    </xf>
    <xf numFmtId="0" fontId="10" fillId="9" borderId="1" applyAlignment="1" pivotButton="0" quotePrefix="0" xfId="0">
      <alignment horizontal="general" vertical="bottom"/>
    </xf>
    <xf numFmtId="0" fontId="14" fillId="0" borderId="0" applyAlignment="1" pivotButton="0" quotePrefix="0" xfId="0">
      <alignment horizontal="general" vertical="bottom"/>
    </xf>
    <xf numFmtId="0" fontId="9" fillId="0" borderId="0" applyAlignment="1" pivotButton="0" quotePrefix="0" xfId="0">
      <alignment horizontal="general" vertical="bottom"/>
    </xf>
    <xf numFmtId="0" fontId="12" fillId="0" borderId="0" applyAlignment="1" pivotButton="0" quotePrefix="0" xfId="0">
      <alignment horizontal="general" vertical="bottom"/>
    </xf>
    <xf numFmtId="0" fontId="6" fillId="2" borderId="1" applyAlignment="1" pivotButton="0" quotePrefix="0" xfId="0">
      <alignment horizontal="general" vertical="center"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164" fontId="8" fillId="0" borderId="1" applyAlignment="1" pivotButton="0" quotePrefix="0" xfId="0">
      <alignment horizontal="general" vertical="top" wrapText="1"/>
    </xf>
    <xf numFmtId="1" fontId="8" fillId="0" borderId="1" applyAlignment="1" pivotButton="0" quotePrefix="0" xfId="0">
      <alignment horizontal="general" vertical="top" wrapText="1"/>
    </xf>
    <xf numFmtId="0" fontId="6" fillId="2" borderId="1" applyAlignment="1" pivotButton="0" quotePrefix="0" xfId="0">
      <alignment horizontal="general" vertical="bottom"/>
    </xf>
    <xf numFmtId="0" fontId="7" fillId="3" borderId="0" applyAlignment="1" pivotButton="0" quotePrefix="0" xfId="0">
      <alignment horizontal="general" vertical="bottom"/>
    </xf>
    <xf numFmtId="0" fontId="8" fillId="0" borderId="0" applyAlignment="1" pivotButton="0" quotePrefix="0" xfId="0">
      <alignment horizontal="general" vertical="bottom"/>
    </xf>
    <xf numFmtId="0" fontId="9" fillId="4" borderId="0" applyAlignment="1" pivotButton="0" quotePrefix="0" xfId="0">
      <alignment horizontal="general" vertical="bottom"/>
    </xf>
    <xf numFmtId="0" fontId="10" fillId="5" borderId="0" applyAlignment="1" pivotButton="0" quotePrefix="0" xfId="0">
      <alignment horizontal="general" vertical="bottom"/>
    </xf>
    <xf numFmtId="0" fontId="11" fillId="6" borderId="0" applyAlignment="1" pivotButton="0" quotePrefix="0" xfId="0">
      <alignment horizontal="general" vertical="bottom"/>
    </xf>
    <xf numFmtId="0" fontId="12" fillId="7" borderId="0" applyAlignment="1" pivotButton="0" quotePrefix="0" xfId="0">
      <alignment horizontal="general" vertical="bottom"/>
    </xf>
    <xf numFmtId="0" fontId="13" fillId="8" borderId="0" applyAlignment="1" pivotButton="0" quotePrefix="0" xfId="0">
      <alignment horizontal="general" vertical="bottom"/>
    </xf>
    <xf numFmtId="0" fontId="10" fillId="9"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2">
    <dxf>
      <font>
        <name val="Arial"/>
        <charset val="1"/>
        <family val="0"/>
        <b val="1"/>
        <color rgb="FF252C93"/>
      </font>
    </dxf>
    <dxf>
      <fill>
        <patternFill patternType="solid">
          <fgColor rgb="FF14173F"/>
          <bgColor rgb="FF000000"/>
        </patternFill>
      </fill>
    </dxf>
    <dxf>
      <fill>
        <patternFill patternType="solid">
          <fgColor rgb="FFD6EEE3"/>
          <bgColor rgb="FF000000"/>
        </patternFill>
      </fill>
    </dxf>
    <dxf>
      <fill>
        <patternFill patternType="solid">
          <fgColor rgb="FFDCE0F7"/>
          <bgColor rgb="FF000000"/>
        </patternFill>
      </fill>
    </dxf>
    <dxf>
      <fill>
        <patternFill patternType="solid">
          <fgColor rgb="FFE6E6E6"/>
          <bgColor rgb="FF000000"/>
        </patternFill>
      </fill>
    </dxf>
    <dxf>
      <fill>
        <patternFill patternType="solid">
          <fgColor rgb="FFF1F2F6"/>
          <bgColor rgb="FF000000"/>
        </patternFill>
      </fill>
    </dxf>
    <dxf>
      <fill>
        <patternFill patternType="solid">
          <fgColor rgb="FFFFE8C7"/>
          <bgColor rgb="FF000000"/>
        </patternFill>
      </fill>
    </dxf>
    <dxf>
      <fill>
        <patternFill patternType="solid">
          <fgColor rgb="FFFFF1BF"/>
          <bgColor rgb="FF000000"/>
        </patternFill>
      </fill>
    </dxf>
    <dxf>
      <fill>
        <patternFill patternType="solid">
          <fgColor rgb="FF0B6B45"/>
          <bgColor rgb="FF000000"/>
        </patternFill>
      </fill>
    </dxf>
    <dxf>
      <fill>
        <patternFill patternType="solid">
          <fgColor rgb="FF252C93"/>
          <bgColor rgb="FF000000"/>
        </patternFill>
      </fill>
    </dxf>
    <dxf>
      <fill>
        <patternFill patternType="solid">
          <fgColor rgb="FF3A3F6E"/>
          <bgColor rgb="FF000000"/>
        </patternFill>
      </fill>
    </dxf>
    <dxf>
      <fill>
        <patternFill patternType="solid">
          <fgColor rgb="FF6B6B6B"/>
          <bgColor rgb="FF000000"/>
        </patternFill>
      </fill>
    </dxf>
    <dxf>
      <fill>
        <patternFill patternType="solid">
          <fgColor rgb="FF8A5300"/>
          <bgColor rgb="FF000000"/>
        </patternFill>
      </fill>
    </dxf>
    <dxf>
      <fill>
        <patternFill patternType="solid">
          <fgColor rgb="FFFFFFFF"/>
          <bgColor rgb="FF000000"/>
        </patternFill>
      </fill>
    </dxf>
    <dxf>
      <font>
        <name val="Arial"/>
        <charset val="1"/>
        <family val="0"/>
        <strike val="0"/>
        <color rgb="FF3A3F6E"/>
      </font>
      <fill>
        <patternFill>
          <bgColor rgb="FFF1F2F6"/>
        </patternFill>
      </fill>
    </dxf>
    <dxf>
      <font>
        <name val="Arial"/>
        <charset val="1"/>
        <family val="0"/>
        <strike val="0"/>
        <color rgb="FF252C93"/>
      </font>
      <fill>
        <patternFill>
          <bgColor rgb="FFDCE0F7"/>
        </patternFill>
      </fill>
    </dxf>
    <dxf>
      <font>
        <name val="Arial"/>
        <charset val="1"/>
        <family val="0"/>
        <strike val="0"/>
        <color rgb="FF8A5300"/>
      </font>
      <fill>
        <patternFill>
          <bgColor rgb="FFFFF1BF"/>
        </patternFill>
      </fill>
    </dxf>
    <dxf>
      <font>
        <name val="Arial"/>
        <charset val="1"/>
        <family val="0"/>
        <strike val="0"/>
        <color rgb="FF0B6B45"/>
      </font>
      <fill>
        <patternFill>
          <bgColor rgb="FFD6EEE3"/>
        </patternFill>
      </fill>
    </dxf>
    <dxf>
      <font>
        <name val="Arial"/>
        <charset val="1"/>
        <family val="0"/>
        <strike val="0"/>
        <color rgb="FFB42A26"/>
      </font>
      <fill>
        <patternFill>
          <bgColor rgb="FFF7DAD9"/>
        </patternFill>
      </fill>
    </dxf>
    <dxf>
      <font>
        <name val="Arial"/>
        <charset val="1"/>
        <family val="0"/>
        <strike val="1"/>
        <color rgb="FF6B6B6B"/>
      </font>
      <fill>
        <patternFill>
          <bgColor rgb="FFE6E6E6"/>
        </patternFill>
      </fill>
    </dxf>
    <dxf>
      <font>
        <name val="Arial"/>
        <charset val="1"/>
        <family val="0"/>
        <strike val="0"/>
        <color rgb="FF8A5300"/>
      </font>
      <fill>
        <patternFill>
          <bgColor rgb="FFFFE8C7"/>
        </patternFill>
      </fill>
    </dxf>
    <dxf>
      <font>
        <name val="Arial"/>
        <charset val="1"/>
        <family val="0"/>
        <b val="1"/>
        <color rgb="FFB42A26"/>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0B6B45"/>
      <rgbColor rgb="FFDCE0F7"/>
      <rgbColor rgb="FF808080"/>
      <rgbColor rgb="FF9999FF"/>
      <rgbColor rgb="FF993366"/>
      <rgbColor rgb="FFFFF1BF"/>
      <rgbColor rgb="FFF1F2F6"/>
      <rgbColor rgb="FF660066"/>
      <rgbColor rgb="FFFF8080"/>
      <rgbColor rgb="FF0066CC"/>
      <rgbColor rgb="FFC9CEE3"/>
      <rgbColor rgb="FF000080"/>
      <rgbColor rgb="FFFF00FF"/>
      <rgbColor rgb="FFFFFF00"/>
      <rgbColor rgb="FF00FFFF"/>
      <rgbColor rgb="FF800080"/>
      <rgbColor rgb="FF800000"/>
      <rgbColor rgb="FF008080"/>
      <rgbColor rgb="FF0000FF"/>
      <rgbColor rgb="FF00CCFF"/>
      <rgbColor rgb="FFE6E6E6"/>
      <rgbColor rgb="FFD6EEE3"/>
      <rgbColor rgb="FFFFE8C7"/>
      <rgbColor rgb="FF99CCFF"/>
      <rgbColor rgb="FFFF99CC"/>
      <rgbColor rgb="FFCC99FF"/>
      <rgbColor rgb="FFF7DAD9"/>
      <rgbColor rgb="FF3366FF"/>
      <rgbColor rgb="FF33CCCC"/>
      <rgbColor rgb="FF99CC00"/>
      <rgbColor rgb="FFFFD84A"/>
      <rgbColor rgb="FFFF9900"/>
      <rgbColor rgb="FFFF6600"/>
      <rgbColor rgb="FF6B6B6B"/>
      <rgbColor rgb="FF969696"/>
      <rgbColor rgb="FF14173F"/>
      <rgbColor rgb="FF339966"/>
      <rgbColor rgb="FF003300"/>
      <rgbColor rgb="FF333300"/>
      <rgbColor rgb="FFB42A26"/>
      <rgbColor rgb="FF993366"/>
      <rgbColor rgb="FF252C93"/>
      <rgbColor rgb="FF3A3F6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tabColor rgb="FFFFD84A"/>
    <outlinePr summaryBelow="1" summaryRight="1"/>
    <pageSetUpPr fitToPage="0"/>
  </sheetPr>
  <dimension ref="A1:J27"/>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34" min="1" max="1"/>
    <col width="11" customWidth="1" style="34" min="2" max="3"/>
    <col width="3" customWidth="1" style="34" min="4" max="4"/>
    <col width="7" customWidth="1" style="34" min="5" max="5"/>
    <col width="34" customWidth="1" style="34" min="6" max="6"/>
    <col width="10" customWidth="1" style="34" min="7" max="7"/>
    <col width="11" customWidth="1" style="34" min="8" max="8"/>
    <col width="12" customWidth="1" style="34" min="9" max="9"/>
    <col width="8" customWidth="1" style="34" min="10" max="10"/>
  </cols>
  <sheetData>
    <row r="1" ht="17.25" customHeight="1" s="35">
      <c r="A1" s="36" t="inlineStr">
        <is>
          <t>Resumen de pendientes</t>
        </is>
      </c>
    </row>
    <row r="2" ht="15" customHeight="1" s="35">
      <c r="A2" s="37" t="inlineStr">
        <is>
          <t>Se actualiza solo a partir de la hoja Pendientes.</t>
        </is>
      </c>
    </row>
    <row r="4" ht="15" customHeight="1" s="35">
      <c r="A4" s="38" t="inlineStr">
        <is>
          <t>Estado</t>
        </is>
      </c>
      <c r="B4" s="38" t="inlineStr">
        <is>
          <t>Cantidad</t>
        </is>
      </c>
      <c r="C4" s="38" t="inlineStr">
        <is>
          <t>% del total</t>
        </is>
      </c>
      <c r="E4" s="38" t="inlineStr">
        <is>
          <t>Plan</t>
        </is>
      </c>
      <c r="F4" s="38" t="inlineStr">
        <is>
          <t>Tema</t>
        </is>
      </c>
      <c r="G4" s="38" t="inlineStr">
        <is>
          <t>Abiertos</t>
        </is>
      </c>
      <c r="H4" s="38" t="inlineStr">
        <is>
          <t>Terminados</t>
        </is>
      </c>
      <c r="I4" s="38" t="inlineStr">
        <is>
          <t>Descartados</t>
        </is>
      </c>
      <c r="J4" s="38" t="inlineStr">
        <is>
          <t>Total</t>
        </is>
      </c>
    </row>
    <row r="5" ht="15" customHeight="1" s="35">
      <c r="A5" s="39" t="inlineStr">
        <is>
          <t>No iniciado</t>
        </is>
      </c>
      <c r="B5" s="40">
        <f>COUNTIF(Pendientes!$F$5:$F$308,A5)</f>
        <v/>
      </c>
      <c r="C5" s="41">
        <f>IF($B$12=0,0,B5/$B$12)</f>
        <v/>
      </c>
      <c r="E5" s="42" t="inlineStr">
        <is>
          <t>02</t>
        </is>
      </c>
      <c r="F5" s="40" t="inlineStr">
        <is>
          <t>Roles y permisos del tendero</t>
        </is>
      </c>
      <c r="G5" s="40">
        <f>COUNTIFS(Pendientes!$B$5:$B$308,E5,Pendientes!$F$5:$F$308,"&lt;&gt;Terminado",Pendientes!$F$5:$F$308,"&lt;&gt;Descartado")-COUNTIFS(Pendientes!$B$5:$B$308,E5,Pendientes!$F$5:$F$308,"")</f>
        <v/>
      </c>
      <c r="H5" s="40">
        <f>COUNTIFS(Pendientes!$B$5:$B$308,E5,Pendientes!$F$5:$F$308,"Terminado")</f>
        <v/>
      </c>
      <c r="I5" s="40">
        <f>COUNTIFS(Pendientes!$B$5:$B$308,E5,Pendientes!$F$5:$F$308,"Descartado")</f>
        <v/>
      </c>
      <c r="J5" s="40">
        <f>COUNTIF(Pendientes!$B$5:$B$308,E5)</f>
        <v/>
      </c>
    </row>
    <row r="6" ht="15" customHeight="1" s="35">
      <c r="A6" s="43" t="inlineStr">
        <is>
          <t>En progreso</t>
        </is>
      </c>
      <c r="B6" s="40">
        <f>COUNTIF(Pendientes!$F$5:$F$308,A6)</f>
        <v/>
      </c>
      <c r="C6" s="41">
        <f>IF($B$12=0,0,B6/$B$12)</f>
        <v/>
      </c>
      <c r="E6" s="42" t="inlineStr">
        <is>
          <t>04</t>
        </is>
      </c>
      <c r="F6" s="40" t="inlineStr">
        <is>
          <t>Posventa y facturación</t>
        </is>
      </c>
      <c r="G6" s="40">
        <f>COUNTIFS(Pendientes!$B$5:$B$308,E6,Pendientes!$F$5:$F$308,"&lt;&gt;Terminado",Pendientes!$F$5:$F$308,"&lt;&gt;Descartado")-COUNTIFS(Pendientes!$B$5:$B$308,E6,Pendientes!$F$5:$F$308,"")</f>
        <v/>
      </c>
      <c r="H6" s="40">
        <f>COUNTIFS(Pendientes!$B$5:$B$308,E6,Pendientes!$F$5:$F$308,"Terminado")</f>
        <v/>
      </c>
      <c r="I6" s="40">
        <f>COUNTIFS(Pendientes!$B$5:$B$308,E6,Pendientes!$F$5:$F$308,"Descartado")</f>
        <v/>
      </c>
      <c r="J6" s="40">
        <f>COUNTIF(Pendientes!$B$5:$B$308,E6)</f>
        <v/>
      </c>
    </row>
    <row r="7" ht="15" customHeight="1" s="35">
      <c r="A7" s="44" t="inlineStr">
        <is>
          <t>Parcial</t>
        </is>
      </c>
      <c r="B7" s="40">
        <f>COUNTIF(Pendientes!$F$5:$F$308,A7)</f>
        <v/>
      </c>
      <c r="C7" s="41">
        <f>IF($B$12=0,0,B7/$B$12)</f>
        <v/>
      </c>
      <c r="E7" s="42" t="inlineStr">
        <is>
          <t>05</t>
        </is>
      </c>
      <c r="F7" s="40" t="inlineStr">
        <is>
          <t>Egresos de caja chica y Redis</t>
        </is>
      </c>
      <c r="G7" s="40">
        <f>COUNTIFS(Pendientes!$B$5:$B$308,E7,Pendientes!$F$5:$F$308,"&lt;&gt;Terminado",Pendientes!$F$5:$F$308,"&lt;&gt;Descartado")-COUNTIFS(Pendientes!$B$5:$B$308,E7,Pendientes!$F$5:$F$308,"")</f>
        <v/>
      </c>
      <c r="H7" s="40">
        <f>COUNTIFS(Pendientes!$B$5:$B$308,E7,Pendientes!$F$5:$F$308,"Terminado")</f>
        <v/>
      </c>
      <c r="I7" s="40">
        <f>COUNTIFS(Pendientes!$B$5:$B$308,E7,Pendientes!$F$5:$F$308,"Descartado")</f>
        <v/>
      </c>
      <c r="J7" s="40">
        <f>COUNTIF(Pendientes!$B$5:$B$308,E7)</f>
        <v/>
      </c>
    </row>
    <row r="8" ht="15" customHeight="1" s="35">
      <c r="A8" s="45" t="inlineStr">
        <is>
          <t>Terminado</t>
        </is>
      </c>
      <c r="B8" s="40">
        <f>COUNTIF(Pendientes!$F$5:$F$308,A8)</f>
        <v/>
      </c>
      <c r="C8" s="41">
        <f>IF($B$12=0,0,B8/$B$12)</f>
        <v/>
      </c>
      <c r="E8" s="42" t="inlineStr">
        <is>
          <t>06</t>
        </is>
      </c>
      <c r="F8" s="40" t="inlineStr">
        <is>
          <t>Notificaciones avanzadas</t>
        </is>
      </c>
      <c r="G8" s="40">
        <f>COUNTIFS(Pendientes!$B$5:$B$308,E8,Pendientes!$F$5:$F$308,"&lt;&gt;Terminado",Pendientes!$F$5:$F$308,"&lt;&gt;Descartado")-COUNTIFS(Pendientes!$B$5:$B$308,E8,Pendientes!$F$5:$F$308,"")</f>
        <v/>
      </c>
      <c r="H8" s="40">
        <f>COUNTIFS(Pendientes!$B$5:$B$308,E8,Pendientes!$F$5:$F$308,"Terminado")</f>
        <v/>
      </c>
      <c r="I8" s="40">
        <f>COUNTIFS(Pendientes!$B$5:$B$308,E8,Pendientes!$F$5:$F$308,"Descartado")</f>
        <v/>
      </c>
      <c r="J8" s="40">
        <f>COUNTIF(Pendientes!$B$5:$B$308,E8)</f>
        <v/>
      </c>
    </row>
    <row r="9" ht="15" customHeight="1" s="35">
      <c r="A9" s="46" t="inlineStr">
        <is>
          <t>Bloqueado</t>
        </is>
      </c>
      <c r="B9" s="40">
        <f>COUNTIF(Pendientes!$F$5:$F$308,A9)</f>
        <v/>
      </c>
      <c r="C9" s="41">
        <f>IF($B$12=0,0,B9/$B$12)</f>
        <v/>
      </c>
      <c r="E9" s="42" t="inlineStr">
        <is>
          <t>07</t>
        </is>
      </c>
      <c r="F9" s="40" t="inlineStr">
        <is>
          <t>App compañera Flutter</t>
        </is>
      </c>
      <c r="G9" s="40">
        <f>COUNTIFS(Pendientes!$B$5:$B$308,E9,Pendientes!$F$5:$F$308,"&lt;&gt;Terminado",Pendientes!$F$5:$F$308,"&lt;&gt;Descartado")-COUNTIFS(Pendientes!$B$5:$B$308,E9,Pendientes!$F$5:$F$308,"")</f>
        <v/>
      </c>
      <c r="H9" s="40">
        <f>COUNTIFS(Pendientes!$B$5:$B$308,E9,Pendientes!$F$5:$F$308,"Terminado")</f>
        <v/>
      </c>
      <c r="I9" s="40">
        <f>COUNTIFS(Pendientes!$B$5:$B$308,E9,Pendientes!$F$5:$F$308,"Descartado")</f>
        <v/>
      </c>
      <c r="J9" s="40">
        <f>COUNTIF(Pendientes!$B$5:$B$308,E9)</f>
        <v/>
      </c>
    </row>
    <row r="10" ht="15" customHeight="1" s="35">
      <c r="A10" s="47" t="inlineStr">
        <is>
          <t>Descartado</t>
        </is>
      </c>
      <c r="B10" s="40">
        <f>COUNTIF(Pendientes!$F$5:$F$308,A10)</f>
        <v/>
      </c>
      <c r="C10" s="41">
        <f>IF($B$12=0,0,B10/$B$12)</f>
        <v/>
      </c>
      <c r="E10" s="42" t="inlineStr">
        <is>
          <t>08</t>
        </is>
      </c>
      <c r="F10" s="40" t="inlineStr">
        <is>
          <t>Funcionalidades faltantes</t>
        </is>
      </c>
      <c r="G10" s="40">
        <f>COUNTIFS(Pendientes!$B$5:$B$308,E10,Pendientes!$F$5:$F$308,"&lt;&gt;Terminado",Pendientes!$F$5:$F$308,"&lt;&gt;Descartado")-COUNTIFS(Pendientes!$B$5:$B$308,E10,Pendientes!$F$5:$F$308,"")</f>
        <v/>
      </c>
      <c r="H10" s="40">
        <f>COUNTIFS(Pendientes!$B$5:$B$308,E10,Pendientes!$F$5:$F$308,"Terminado")</f>
        <v/>
      </c>
      <c r="I10" s="40">
        <f>COUNTIFS(Pendientes!$B$5:$B$308,E10,Pendientes!$F$5:$F$308,"Descartado")</f>
        <v/>
      </c>
      <c r="J10" s="40">
        <f>COUNTIF(Pendientes!$B$5:$B$308,E10)</f>
        <v/>
      </c>
    </row>
    <row r="11" ht="15" customHeight="1" s="35">
      <c r="A11" s="48" t="inlineStr">
        <is>
          <t>Por verificar</t>
        </is>
      </c>
      <c r="B11" s="40">
        <f>COUNTIF(Pendientes!$F$5:$F$308,A11)</f>
        <v/>
      </c>
      <c r="C11" s="41">
        <f>IF($B$12=0,0,B11/$B$12)</f>
        <v/>
      </c>
      <c r="E11" s="42" t="inlineStr">
        <is>
          <t>09</t>
        </is>
      </c>
      <c r="F11" s="40" t="inlineStr">
        <is>
          <t>Rediseño: paleta y tokens</t>
        </is>
      </c>
      <c r="G11" s="40">
        <f>COUNTIFS(Pendientes!$B$5:$B$308,E11,Pendientes!$F$5:$F$308,"&lt;&gt;Terminado",Pendientes!$F$5:$F$308,"&lt;&gt;Descartado")-COUNTIFS(Pendientes!$B$5:$B$308,E11,Pendientes!$F$5:$F$308,"")</f>
        <v/>
      </c>
      <c r="H11" s="40">
        <f>COUNTIFS(Pendientes!$B$5:$B$308,E11,Pendientes!$F$5:$F$308,"Terminado")</f>
        <v/>
      </c>
      <c r="I11" s="40">
        <f>COUNTIFS(Pendientes!$B$5:$B$308,E11,Pendientes!$F$5:$F$308,"Descartado")</f>
        <v/>
      </c>
      <c r="J11" s="40">
        <f>COUNTIF(Pendientes!$B$5:$B$308,E11)</f>
        <v/>
      </c>
    </row>
    <row r="12" ht="15" customHeight="1" s="35">
      <c r="A12" s="49" t="inlineStr">
        <is>
          <t>Total</t>
        </is>
      </c>
      <c r="B12" s="49">
        <f>SUM(B5:B11)</f>
        <v/>
      </c>
      <c r="E12" s="42" t="inlineStr">
        <is>
          <t>10</t>
        </is>
      </c>
      <c r="F12" s="40" t="inlineStr">
        <is>
          <t>Lint y calidad de código</t>
        </is>
      </c>
      <c r="G12" s="40">
        <f>COUNTIFS(Pendientes!$B$5:$B$308,E12,Pendientes!$F$5:$F$308,"&lt;&gt;Terminado",Pendientes!$F$5:$F$308,"&lt;&gt;Descartado")-COUNTIFS(Pendientes!$B$5:$B$308,E12,Pendientes!$F$5:$F$308,"")</f>
        <v/>
      </c>
      <c r="H12" s="40">
        <f>COUNTIFS(Pendientes!$B$5:$B$308,E12,Pendientes!$F$5:$F$308,"Terminado")</f>
        <v/>
      </c>
      <c r="I12" s="40">
        <f>COUNTIFS(Pendientes!$B$5:$B$308,E12,Pendientes!$F$5:$F$308,"Descartado")</f>
        <v/>
      </c>
      <c r="J12" s="40">
        <f>COUNTIF(Pendientes!$B$5:$B$308,E12)</f>
        <v/>
      </c>
    </row>
    <row r="13" ht="15" customHeight="1" s="35">
      <c r="A13" s="50" t="inlineStr">
        <is>
          <t>Abiertos (sin terminar ni descartar)</t>
        </is>
      </c>
      <c r="B13" s="50">
        <f>B12-B8-B10</f>
        <v/>
      </c>
      <c r="E13" s="42" t="inlineStr">
        <is>
          <t>11</t>
        </is>
      </c>
      <c r="F13" s="40" t="inlineStr">
        <is>
          <t>Consejero IA "+0u"</t>
        </is>
      </c>
      <c r="G13" s="40">
        <f>COUNTIFS(Pendientes!$B$5:$B$308,E13,Pendientes!$F$5:$F$308,"&lt;&gt;Terminado",Pendientes!$F$5:$F$308,"&lt;&gt;Descartado")-COUNTIFS(Pendientes!$B$5:$B$308,E13,Pendientes!$F$5:$F$308,"")</f>
        <v/>
      </c>
      <c r="H13" s="40">
        <f>COUNTIFS(Pendientes!$B$5:$B$308,E13,Pendientes!$F$5:$F$308,"Terminado")</f>
        <v/>
      </c>
      <c r="I13" s="40">
        <f>COUNTIFS(Pendientes!$B$5:$B$308,E13,Pendientes!$F$5:$F$308,"Descartado")</f>
        <v/>
      </c>
      <c r="J13" s="40">
        <f>COUNTIF(Pendientes!$B$5:$B$308,E13)</f>
        <v/>
      </c>
    </row>
    <row r="14" ht="15" customHeight="1" s="35">
      <c r="A14" s="51" t="inlineStr">
        <is>
          <t>Abiertos de prioridad Alta</t>
        </is>
      </c>
      <c r="B14" s="51">
        <f>COUNTIFS(Pendientes!$G$5:$G$308,"Alta",Pendientes!$F$5:$F$308,"&lt;&gt;Terminado",Pendientes!$F$5:$F$308,"&lt;&gt;Descartado")</f>
        <v/>
      </c>
      <c r="E14" s="42" t="inlineStr">
        <is>
          <t>12</t>
        </is>
      </c>
      <c r="F14" s="40" t="inlineStr">
        <is>
          <t>Rediseño: tipografía y forma</t>
        </is>
      </c>
      <c r="G14" s="40">
        <f>COUNTIFS(Pendientes!$B$5:$B$308,E14,Pendientes!$F$5:$F$308,"&lt;&gt;Terminado",Pendientes!$F$5:$F$308,"&lt;&gt;Descartado")-COUNTIFS(Pendientes!$B$5:$B$308,E14,Pendientes!$F$5:$F$308,"")</f>
        <v/>
      </c>
      <c r="H14" s="40">
        <f>COUNTIFS(Pendientes!$B$5:$B$308,E14,Pendientes!$F$5:$F$308,"Terminado")</f>
        <v/>
      </c>
      <c r="I14" s="40">
        <f>COUNTIFS(Pendientes!$B$5:$B$308,E14,Pendientes!$F$5:$F$308,"Descartado")</f>
        <v/>
      </c>
      <c r="J14" s="40">
        <f>COUNTIF(Pendientes!$B$5:$B$308,E14)</f>
        <v/>
      </c>
    </row>
    <row r="15" ht="15" customHeight="1" s="35">
      <c r="E15" s="42" t="inlineStr">
        <is>
          <t>13</t>
        </is>
      </c>
      <c r="F15" s="40" t="inlineStr">
        <is>
          <t>Consejero IA → borrador de orden</t>
        </is>
      </c>
      <c r="G15" s="40">
        <f>COUNTIFS(Pendientes!$B$5:$B$308,E15,Pendientes!$F$5:$F$308,"&lt;&gt;Terminado",Pendientes!$F$5:$F$308,"&lt;&gt;Descartado")-COUNTIFS(Pendientes!$B$5:$B$308,E15,Pendientes!$F$5:$F$308,"")</f>
        <v/>
      </c>
      <c r="H15" s="40">
        <f>COUNTIFS(Pendientes!$B$5:$B$308,E15,Pendientes!$F$5:$F$308,"Terminado")</f>
        <v/>
      </c>
      <c r="I15" s="40">
        <f>COUNTIFS(Pendientes!$B$5:$B$308,E15,Pendientes!$F$5:$F$308,"Descartado")</f>
        <v/>
      </c>
      <c r="J15" s="40">
        <f>COUNTIF(Pendientes!$B$5:$B$308,E15)</f>
        <v/>
      </c>
    </row>
    <row r="16" ht="15" customHeight="1" s="35">
      <c r="A16" s="37" t="inlineStr">
        <is>
          <t>Planes 01 y 03: implementados y verificados, sin pendientes.</t>
        </is>
      </c>
      <c r="E16" s="42" t="inlineStr">
        <is>
          <t>14</t>
        </is>
      </c>
      <c r="F16" s="40" t="inlineStr">
        <is>
          <t>Rediseño: verificación</t>
        </is>
      </c>
      <c r="G16" s="40">
        <f>COUNTIFS(Pendientes!$B$5:$B$308,E16,Pendientes!$F$5:$F$308,"&lt;&gt;Terminado",Pendientes!$F$5:$F$308,"&lt;&gt;Descartado")-COUNTIFS(Pendientes!$B$5:$B$308,E16,Pendientes!$F$5:$F$308,"")</f>
        <v/>
      </c>
      <c r="H16" s="40">
        <f>COUNTIFS(Pendientes!$B$5:$B$308,E16,Pendientes!$F$5:$F$308,"Terminado")</f>
        <v/>
      </c>
      <c r="I16" s="40">
        <f>COUNTIFS(Pendientes!$B$5:$B$308,E16,Pendientes!$F$5:$F$308,"Descartado")</f>
        <v/>
      </c>
      <c r="J16" s="40">
        <f>COUNTIF(Pendientes!$B$5:$B$308,E16)</f>
        <v/>
      </c>
    </row>
    <row r="17" ht="15" customHeight="1" s="35">
      <c r="E17" s="42" t="inlineStr">
        <is>
          <t>15</t>
        </is>
      </c>
      <c r="F17" s="40" t="inlineStr">
        <is>
          <t>Migración de Fiados en producción</t>
        </is>
      </c>
      <c r="G17" s="40">
        <f>COUNTIFS(Pendientes!$B$5:$B$308,E17,Pendientes!$F$5:$F$308,"&lt;&gt;Terminado",Pendientes!$F$5:$F$308,"&lt;&gt;Descartado")-COUNTIFS(Pendientes!$B$5:$B$308,E17,Pendientes!$F$5:$F$308,"")</f>
        <v/>
      </c>
      <c r="H17" s="40">
        <f>COUNTIFS(Pendientes!$B$5:$B$308,E17,Pendientes!$F$5:$F$308,"Terminado")</f>
        <v/>
      </c>
      <c r="I17" s="40">
        <f>COUNTIFS(Pendientes!$B$5:$B$308,E17,Pendientes!$F$5:$F$308,"Descartado")</f>
        <v/>
      </c>
      <c r="J17" s="40">
        <f>COUNTIF(Pendientes!$B$5:$B$308,E17)</f>
        <v/>
      </c>
    </row>
    <row r="18" ht="15" customHeight="1" s="35">
      <c r="E18" s="42" t="inlineStr">
        <is>
          <t>16</t>
        </is>
      </c>
      <c r="F18" s="40" t="inlineStr">
        <is>
          <t>Recepción de mercancía</t>
        </is>
      </c>
      <c r="G18" s="40">
        <f>COUNTIFS(Pendientes!$B$5:$B$308,E18,Pendientes!$F$5:$F$308,"&lt;&gt;Terminado",Pendientes!$F$5:$F$308,"&lt;&gt;Descartado")-COUNTIFS(Pendientes!$B$5:$B$308,E18,Pendientes!$F$5:$F$308,"")</f>
        <v/>
      </c>
      <c r="H18" s="40">
        <f>COUNTIFS(Pendientes!$B$5:$B$308,E18,Pendientes!$F$5:$F$308,"Terminado")</f>
        <v/>
      </c>
      <c r="I18" s="40">
        <f>COUNTIFS(Pendientes!$B$5:$B$308,E18,Pendientes!$F$5:$F$308,"Descartado")</f>
        <v/>
      </c>
      <c r="J18" s="40">
        <f>COUNTIF(Pendientes!$B$5:$B$308,E18)</f>
        <v/>
      </c>
    </row>
    <row r="19" ht="15" customHeight="1" s="35">
      <c r="E19" s="42" t="inlineStr">
        <is>
          <t>17</t>
        </is>
      </c>
      <c r="F19" s="40" t="inlineStr">
        <is>
          <t>Motor de riesgo unificado</t>
        </is>
      </c>
      <c r="G19" s="40">
        <f>COUNTIFS(Pendientes!$B$5:$B$308,E19,Pendientes!$F$5:$F$308,"&lt;&gt;Terminado",Pendientes!$F$5:$F$308,"&lt;&gt;Descartado")-COUNTIFS(Pendientes!$B$5:$B$308,E19,Pendientes!$F$5:$F$308,"")</f>
        <v/>
      </c>
      <c r="H19" s="40">
        <f>COUNTIFS(Pendientes!$B$5:$B$308,E19,Pendientes!$F$5:$F$308,"Terminado")</f>
        <v/>
      </c>
      <c r="I19" s="40">
        <f>COUNTIFS(Pendientes!$B$5:$B$308,E19,Pendientes!$F$5:$F$308,"Descartado")</f>
        <v/>
      </c>
      <c r="J19" s="40">
        <f>COUNTIF(Pendientes!$B$5:$B$308,E19)</f>
        <v/>
      </c>
    </row>
    <row r="20" ht="15" customHeight="1" s="35">
      <c r="E20" s="42" t="inlineStr">
        <is>
          <t>18</t>
        </is>
      </c>
      <c r="F20" s="40" t="inlineStr">
        <is>
          <t>Simulador con motor único</t>
        </is>
      </c>
      <c r="G20" s="40">
        <f>COUNTIFS(Pendientes!$B$5:$B$308,E20,Pendientes!$F$5:$F$308,"&lt;&gt;Terminado",Pendientes!$F$5:$F$308,"&lt;&gt;Descartado")-COUNTIFS(Pendientes!$B$5:$B$308,E20,Pendientes!$F$5:$F$308,"")</f>
        <v/>
      </c>
      <c r="H20" s="40">
        <f>COUNTIFS(Pendientes!$B$5:$B$308,E20,Pendientes!$F$5:$F$308,"Terminado")</f>
        <v/>
      </c>
      <c r="I20" s="40">
        <f>COUNTIFS(Pendientes!$B$5:$B$308,E20,Pendientes!$F$5:$F$308,"Descartado")</f>
        <v/>
      </c>
      <c r="J20" s="40">
        <f>COUNTIF(Pendientes!$B$5:$B$308,E20)</f>
        <v/>
      </c>
    </row>
    <row r="21" ht="15" customHeight="1" s="35">
      <c r="E21" s="42" t="inlineStr">
        <is>
          <t>19</t>
        </is>
      </c>
      <c r="F21" s="40" t="inlineStr">
        <is>
          <t>Requisitos de la intervención</t>
        </is>
      </c>
      <c r="G21" s="40">
        <f>COUNTIFS(Pendientes!$B$5:$B$308,E21,Pendientes!$F$5:$F$308,"&lt;&gt;Terminado",Pendientes!$F$5:$F$308,"&lt;&gt;Descartado")-COUNTIFS(Pendientes!$B$5:$B$308,E21,Pendientes!$F$5:$F$308,"")</f>
        <v/>
      </c>
      <c r="H21" s="40">
        <f>COUNTIFS(Pendientes!$B$5:$B$308,E21,Pendientes!$F$5:$F$308,"Terminado")</f>
        <v/>
      </c>
      <c r="I21" s="40">
        <f>COUNTIFS(Pendientes!$B$5:$B$308,E21,Pendientes!$F$5:$F$308,"Descartado")</f>
        <v/>
      </c>
      <c r="J21" s="40">
        <f>COUNTIF(Pendientes!$B$5:$B$308,E21)</f>
        <v/>
      </c>
    </row>
    <row r="22" ht="15" customHeight="1" s="35">
      <c r="E22" s="42" t="inlineStr">
        <is>
          <t>20</t>
        </is>
      </c>
      <c r="F22" s="40" t="inlineStr">
        <is>
          <t>Cobertura real del backend</t>
        </is>
      </c>
      <c r="G22" s="40">
        <f>COUNTIFS(Pendientes!$B$5:$B$308,E22,Pendientes!$F$5:$F$308,"&lt;&gt;Terminado",Pendientes!$F$5:$F$308,"&lt;&gt;Descartado")-COUNTIFS(Pendientes!$B$5:$B$308,E22,Pendientes!$F$5:$F$308,"")</f>
        <v/>
      </c>
      <c r="H22" s="40">
        <f>COUNTIFS(Pendientes!$B$5:$B$308,E22,Pendientes!$F$5:$F$308,"Terminado")</f>
        <v/>
      </c>
      <c r="I22" s="40">
        <f>COUNTIFS(Pendientes!$B$5:$B$308,E22,Pendientes!$F$5:$F$308,"Descartado")</f>
        <v/>
      </c>
      <c r="J22" s="40">
        <f>COUNTIF(Pendientes!$B$5:$B$308,E22)</f>
        <v/>
      </c>
    </row>
    <row r="23" ht="15" customHeight="1" s="35">
      <c r="E23" s="42" t="inlineStr">
        <is>
          <t>21</t>
        </is>
      </c>
      <c r="F23" s="40" t="inlineStr">
        <is>
          <t>Refactorización y tiempo real</t>
        </is>
      </c>
      <c r="G23" s="40">
        <f>COUNTIFS(Pendientes!$B$5:$B$308,E23,Pendientes!$F$5:$F$308,"&lt;&gt;Terminado",Pendientes!$F$5:$F$308,"&lt;&gt;Descartado")-COUNTIFS(Pendientes!$B$5:$B$308,E23,Pendientes!$F$5:$F$308,"")</f>
        <v/>
      </c>
      <c r="H23" s="40">
        <f>COUNTIFS(Pendientes!$B$5:$B$308,E23,Pendientes!$F$5:$F$308,"Terminado")</f>
        <v/>
      </c>
      <c r="I23" s="40">
        <f>COUNTIFS(Pendientes!$B$5:$B$308,E23,Pendientes!$F$5:$F$308,"Descartado")</f>
        <v/>
      </c>
      <c r="J23" s="40">
        <f>COUNTIF(Pendientes!$B$5:$B$308,E23)</f>
        <v/>
      </c>
    </row>
    <row r="24" ht="15" customHeight="1" s="35">
      <c r="E24" s="42" t="inlineStr">
        <is>
          <t>22</t>
        </is>
      </c>
      <c r="F24" s="40" t="inlineStr">
        <is>
          <t>Panel interno y funciones por tienda</t>
        </is>
      </c>
      <c r="G24" s="40">
        <f>COUNTIFS(Pendientes!$B$5:$B$308,E24,Pendientes!$F$5:$F$308,"&lt;&gt;Terminado",Pendientes!$F$5:$F$308,"&lt;&gt;Descartado")-COUNTIFS(Pendientes!$B$5:$B$308,E24,Pendientes!$F$5:$F$308,"")</f>
        <v/>
      </c>
      <c r="H24" s="40">
        <f>COUNTIFS(Pendientes!$B$5:$B$308,E24,Pendientes!$F$5:$F$308,"Terminado")</f>
        <v/>
      </c>
      <c r="I24" s="40">
        <f>COUNTIFS(Pendientes!$B$5:$B$308,E24,Pendientes!$F$5:$F$308,"Descartado")</f>
        <v/>
      </c>
      <c r="J24" s="40">
        <f>COUNTIF(Pendientes!$B$5:$B$308,E24)</f>
        <v/>
      </c>
    </row>
    <row r="25" ht="15" customHeight="1" s="35">
      <c r="E25" s="42" t="inlineStr">
        <is>
          <t>23</t>
        </is>
      </c>
      <c r="F25" s="40" t="inlineStr">
        <is>
          <t>IA con valor, medida y con privacidad</t>
        </is>
      </c>
      <c r="G25" s="40">
        <f>COUNTIFS(Pendientes!$B$5:$B$308,E25,Pendientes!$F$5:$F$308,"&lt;&gt;Terminado",Pendientes!$F$5:$F$308,"&lt;&gt;Descartado")-COUNTIFS(Pendientes!$B$5:$B$308,E25,Pendientes!$F$5:$F$308,"")</f>
        <v/>
      </c>
      <c r="H25" s="40">
        <f>COUNTIFS(Pendientes!$B$5:$B$308,E25,Pendientes!$F$5:$F$308,"Terminado")</f>
        <v/>
      </c>
      <c r="I25" s="40">
        <f>COUNTIFS(Pendientes!$B$5:$B$308,E25,Pendientes!$F$5:$F$308,"Descartado")</f>
        <v/>
      </c>
      <c r="J25" s="40">
        <f>COUNTIF(Pendientes!$B$5:$B$308,E25)</f>
        <v/>
      </c>
    </row>
    <row r="26" ht="15" customHeight="1" s="35">
      <c r="E26" s="42" t="inlineStr">
        <is>
          <t>24</t>
        </is>
      </c>
      <c r="F26" s="40" t="inlineStr">
        <is>
          <t>Backend para la app (trabajo sin plan previo)</t>
        </is>
      </c>
      <c r="G26" s="40">
        <f>COUNTIFS(Pendientes!$B$5:$B$308,E26,Pendientes!$F$5:$F$308,"&lt;&gt;Terminado",Pendientes!$F$5:$F$308,"&lt;&gt;Descartado")-COUNTIFS(Pendientes!$B$5:$B$308,E26,Pendientes!$F$5:$F$308,"")</f>
        <v/>
      </c>
      <c r="H26" s="40">
        <f>COUNTIFS(Pendientes!$B$5:$B$308,E26,Pendientes!$F$5:$F$308,"Terminado")</f>
        <v/>
      </c>
      <c r="I26" s="40">
        <f>COUNTIFS(Pendientes!$B$5:$B$308,E26,Pendientes!$F$5:$F$308,"Descartado")</f>
        <v/>
      </c>
      <c r="J26" s="40">
        <f>COUNTIF(Pendientes!$B$5:$B$308,E26)</f>
        <v/>
      </c>
    </row>
    <row r="27">
      <c r="E27" s="42" t="inlineStr">
        <is>
          <t>25</t>
        </is>
      </c>
      <c r="F27" s="40" t="inlineStr">
        <is>
          <t>Tienda de demostración para la visita</t>
        </is>
      </c>
      <c r="G27" s="40">
        <f>COUNTIFS(Pendientes!$B$5:$B$308,E27,Pendientes!$F$5:$F$308,"&lt;&gt;Terminado",Pendientes!$F$5:$F$308,"&lt;&gt;Descartado")-COUNTIFS(Pendientes!$B$5:$B$308,E27,Pendientes!$F$5:$F$308,"")</f>
        <v/>
      </c>
      <c r="H27" s="40">
        <f>COUNTIFS(Pendientes!$B$5:$B$308,E27,Pendientes!$F$5:$F$308,"Terminado")</f>
        <v/>
      </c>
      <c r="I27" s="40">
        <f>COUNTIFS(Pendientes!$B$5:$B$308,E27,Pendientes!$F$5:$F$308,"Descartado")</f>
        <v/>
      </c>
      <c r="J27" s="40">
        <f>COUNTIF(Pendientes!$B$5:$B$308,E27)</f>
        <v/>
      </c>
    </row>
  </sheetData>
  <conditionalFormatting sqref="G5:G26">
    <cfRule type="expression" rank="0" priority="2" equalAverage="0" aboveAverage="0" dxfId="0" text="" percent="0" bottom="0">
      <formula>G5&gt;0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252C93"/>
    <outlinePr summaryBelow="1" summaryRight="1"/>
    <pageSetUpPr fitToPage="0"/>
  </sheetPr>
  <dimension ref="A1:L163"/>
  <sheetViews>
    <sheetView showFormulas="0" showGridLines="1" showRowColHeaders="1" showZeros="1" rightToLeft="0" tabSelected="0" showOutlineSymbols="1" defaultGridColor="1" view="normal" topLeftCell="A1" colorId="64" zoomScale="90" zoomScaleNormal="9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baseColWidth="8" defaultColWidth="8.6796875" defaultRowHeight="15" zeroHeight="0" outlineLevelRow="0"/>
  <cols>
    <col width="8" customWidth="1" style="34" min="1" max="1"/>
    <col width="6" customWidth="1" style="34" min="2" max="2"/>
    <col width="15" customWidth="1" style="34" min="3" max="3"/>
    <col width="60" customWidth="1" style="34" min="4" max="4"/>
    <col width="20" customWidth="1" style="34" min="5" max="5"/>
    <col width="14" customWidth="1" style="34" min="6" max="6"/>
    <col width="10" customWidth="1" style="34" min="7" max="7"/>
    <col width="55" customWidth="1" style="34" min="8" max="8"/>
    <col width="45" customWidth="1" style="34" min="9" max="9"/>
    <col width="18" customWidth="1" style="34" min="10" max="10"/>
    <col width="14" customWidth="1" style="34" min="11" max="11"/>
    <col width="12" customWidth="1" style="34" min="12" max="12"/>
  </cols>
  <sheetData>
    <row r="1" ht="17.25" customHeight="1" s="35">
      <c r="A1" s="36" t="inlineStr">
        <is>
          <t>StockPilot · Seguimiento de pendientes de los planes 02 a 25</t>
        </is>
      </c>
    </row>
    <row r="2" ht="15" customHeight="1" s="35">
      <c r="A2" s="37" t="inlineStr">
        <is>
          <t>Revisado contra el código y el historial de git (main y origin/main) el 09-10-2026. Cambie el Estado con la lista desplegable y anote la fecha, quién y qué en la Bitácora. Los planes 01 y 03 no tienen pendientes.</t>
        </is>
      </c>
    </row>
    <row r="4" ht="30" customHeight="1" s="35">
      <c r="A4" s="52" t="inlineStr">
        <is>
          <t>ID</t>
        </is>
      </c>
      <c r="B4" s="52" t="inlineStr">
        <is>
          <t>Plan</t>
        </is>
      </c>
      <c r="C4" s="52" t="inlineStr">
        <is>
          <t>Área</t>
        </is>
      </c>
      <c r="D4" s="52" t="inlineStr">
        <is>
          <t>Pendiente</t>
        </is>
      </c>
      <c r="E4" s="52" t="inlineStr">
        <is>
          <t>Tipo</t>
        </is>
      </c>
      <c r="F4" s="52" t="inlineStr">
        <is>
          <t>Estado</t>
        </is>
      </c>
      <c r="G4" s="52" t="inlineStr">
        <is>
          <t>Prioridad</t>
        </is>
      </c>
      <c r="H4" s="52" t="inlineStr">
        <is>
          <t>Evidencia / dónde está</t>
        </is>
      </c>
      <c r="I4" s="52" t="inlineStr">
        <is>
          <t>Notas</t>
        </is>
      </c>
      <c r="J4" s="52" t="inlineStr">
        <is>
          <t>Responsable</t>
        </is>
      </c>
      <c r="K4" s="52" t="inlineStr">
        <is>
          <t>Última actualización</t>
        </is>
      </c>
      <c r="L4" s="52" t="inlineStr">
        <is>
          <t>Días sin actualizar</t>
        </is>
      </c>
    </row>
    <row r="5" ht="34.5" customHeight="1" s="35">
      <c r="A5" s="53" t="inlineStr">
        <is>
          <t>P02-01</t>
        </is>
      </c>
      <c r="B5" s="54" t="inlineStr">
        <is>
          <t>02</t>
        </is>
      </c>
      <c r="C5" s="53" t="inlineStr">
        <is>
          <t>Seguridad</t>
        </is>
      </c>
      <c r="D5" s="53" t="inlineStr">
        <is>
          <t>Un Tendero puede cambiar los datos de su tienda (incluido su propio límite de egresos) y desactivarla: PUT /api/tienda/update/:id y /api/tienda/estado/:id solo piden requireLogin</t>
        </is>
      </c>
      <c r="E5" s="53" t="inlineStr">
        <is>
          <t>Observación / defecto</t>
        </is>
      </c>
      <c r="F5" s="53" t="inlineStr">
        <is>
          <t>Terminado</t>
        </is>
      </c>
      <c r="G5" s="53" t="inlineStr">
        <is>
          <t>Alta</t>
        </is>
      </c>
      <c r="H5" s="53" t="inlineStr">
        <is>
          <t>Es la misma corrección que P22-01: requireAdmin en PUT /api/tienda/update/:id y /estado/:id (fix/rutas-tienda-requireadmin, mezclada en main el 28-sep). Prueba: tests/integration/tienda_permisos.test.js.</t>
        </is>
      </c>
      <c r="I5" s="53" t="inlineStr">
        <is>
          <t>Plan 22, fase I0: agregar requireAdmin y una prueba de integración con sesión de Tendero que espere 403.</t>
        </is>
      </c>
      <c r="J5" s="53" t="inlineStr">
        <is>
          <t>Agente (Claude Code)</t>
        </is>
      </c>
      <c r="K5" s="55" t="n">
        <v>46304</v>
      </c>
      <c r="L5" s="56">
        <f>IF(K5="","",TODAY()-K5)</f>
        <v/>
      </c>
    </row>
    <row r="6" ht="23.25" customHeight="1" s="35">
      <c r="A6" s="53" t="inlineStr">
        <is>
          <t>P04-01</t>
        </is>
      </c>
      <c r="B6" s="54" t="inlineStr">
        <is>
          <t>04</t>
        </is>
      </c>
      <c r="C6" s="53" t="inlineStr">
        <is>
          <t>Posventa</t>
        </is>
      </c>
      <c r="D6" s="53" t="inlineStr">
        <is>
          <t>Devolución de productos: reintegrar la cantidad al inventario y registrar la salida de dinero de la caja o un saldo a favor</t>
        </is>
      </c>
      <c r="E6" s="53" t="inlineStr">
        <is>
          <t>Pendiente del plan</t>
        </is>
      </c>
      <c r="F6" s="53" t="inlineStr">
        <is>
          <t>No iniciado</t>
        </is>
      </c>
      <c r="G6" s="53" t="inlineStr">
        <is>
          <t>Media</t>
        </is>
      </c>
      <c r="H6" s="53" t="inlineStr">
        <is>
          <t>Plan 04, vertiente A. No existe endpoint ni pantalla de devoluciones (búsqueda en controllers, routes y frontend: sin resultados).</t>
        </is>
      </c>
      <c r="I6" s="53" t="n"/>
      <c r="J6" s="53" t="n"/>
      <c r="K6" s="55" t="n">
        <v>46292</v>
      </c>
      <c r="L6" s="56">
        <f>IF(K6="","",TODAY()-K6)</f>
        <v/>
      </c>
    </row>
    <row r="7" ht="34.5" customHeight="1" s="35">
      <c r="A7" s="53" t="inlineStr">
        <is>
          <t>P04-02</t>
        </is>
      </c>
      <c r="B7" s="54" t="inlineStr">
        <is>
          <t>04</t>
        </is>
      </c>
      <c r="C7" s="53" t="inlineStr">
        <is>
          <t>Posventa</t>
        </is>
      </c>
      <c r="D7" s="53" t="inlineStr">
        <is>
          <t>Anulación de ventas registradas por error, con motivo, usuario que anula y reajuste automático del arqueo esperado</t>
        </is>
      </c>
      <c r="E7" s="53" t="inlineStr">
        <is>
          <t>Pendiente del plan</t>
        </is>
      </c>
      <c r="F7" s="53" t="inlineStr">
        <is>
          <t>No iniciado</t>
        </is>
      </c>
      <c r="G7" s="53" t="inlineStr">
        <is>
          <t>Alta</t>
        </is>
      </c>
      <c r="H7" s="53" t="inlineStr">
        <is>
          <t>Plan 04, vertiente A. Sin implementación.</t>
        </is>
      </c>
      <c r="I7" s="53" t="inlineStr">
        <is>
          <t>Los errores de registro son la dificultad n.º 1 de la encuesta (53 %): anular bien una venta equivocada es parte de tener datos confiables. 9-oct: con el congelamiento, o entra antes del arranque o espera al final del piloto; mientras tanto, una venta mal registrada queda como dato real. Decidir.</t>
        </is>
      </c>
      <c r="J7" s="53" t="n"/>
      <c r="K7" s="55" t="n">
        <v>46304</v>
      </c>
      <c r="L7" s="56">
        <f>IF(K7="","",TODAY()-K7)</f>
        <v/>
      </c>
    </row>
    <row r="8" ht="23.25" customHeight="1" s="35">
      <c r="A8" s="53" t="inlineStr">
        <is>
          <t>P04-03</t>
        </is>
      </c>
      <c r="B8" s="54" t="inlineStr">
        <is>
          <t>04</t>
        </is>
      </c>
      <c r="C8" s="53" t="inlineStr">
        <is>
          <t>Posventa</t>
        </is>
      </c>
      <c r="D8" s="53" t="inlineStr">
        <is>
          <t>Reimpresión de comprobantes desde el historial de ventas</t>
        </is>
      </c>
      <c r="E8" s="53" t="inlineStr">
        <is>
          <t>Pendiente del plan</t>
        </is>
      </c>
      <c r="F8" s="53" t="inlineStr">
        <is>
          <t>No iniciado</t>
        </is>
      </c>
      <c r="G8" s="53" t="inlineStr">
        <is>
          <t>Media</t>
        </is>
      </c>
      <c r="H8" s="53" t="inlineStr">
        <is>
          <t>Plan 04, vertiente A. El diseño detallado está en el plan 19, sección 3.6 (recibo PDF y vista de factura).</t>
        </is>
      </c>
      <c r="I8" s="53" t="inlineStr">
        <is>
          <t>Se puede hacer junto con la fila del plan 19 sobre el recibo en PDF.</t>
        </is>
      </c>
      <c r="J8" s="53" t="n"/>
      <c r="K8" s="55" t="n">
        <v>46292</v>
      </c>
      <c r="L8" s="56">
        <f>IF(K8="","",TODAY()-K8)</f>
        <v/>
      </c>
    </row>
    <row r="9" ht="34.5" customHeight="1" s="35">
      <c r="A9" s="53" t="inlineStr">
        <is>
          <t>P04-04</t>
        </is>
      </c>
      <c r="B9" s="54" t="inlineStr">
        <is>
          <t>04</t>
        </is>
      </c>
      <c r="C9" s="53" t="inlineStr">
        <is>
          <t>Caja</t>
        </is>
      </c>
      <c r="D9" s="53" t="inlineStr">
        <is>
          <t>Egresos de caja chica con motivo, foto opcional y aprobación del administrador</t>
        </is>
      </c>
      <c r="E9" s="53" t="inlineStr">
        <is>
          <t>Pendiente del plan</t>
        </is>
      </c>
      <c r="F9" s="53" t="inlineStr">
        <is>
          <t>Terminado</t>
        </is>
      </c>
      <c r="G9" s="53" t="inlineStr">
        <is>
          <t>Media</t>
        </is>
      </c>
      <c r="H9" s="53" t="inlineStr">
        <is>
          <t>Implementado por el plan 05: ExpenseModal.jsx, HistorialEgresosTab.jsx, endpoints /api/caja/egreso. Cubierto por la prueba de integración caja.test.js.</t>
        </is>
      </c>
      <c r="I9" s="53" t="n"/>
      <c r="J9" s="53" t="n"/>
      <c r="K9" s="55" t="n">
        <v>46292</v>
      </c>
      <c r="L9" s="56">
        <f>IF(K9="","",TODAY()-K9)</f>
        <v/>
      </c>
    </row>
    <row r="10" ht="23.25" customHeight="1" s="35">
      <c r="A10" s="53" t="inlineStr">
        <is>
          <t>P04-05</t>
        </is>
      </c>
      <c r="B10" s="54" t="inlineStr">
        <is>
          <t>04</t>
        </is>
      </c>
      <c r="C10" s="53" t="inlineStr">
        <is>
          <t>Fiscal</t>
        </is>
      </c>
      <c r="D10" s="53" t="inlineStr">
        <is>
          <t>Facturación electrónica oficial ante la DIAN (XML UBL 2.1, firma y QR) mediante un proveedor autorizado</t>
        </is>
      </c>
      <c r="E10" s="53" t="inlineStr">
        <is>
          <t>Trabajo futuro</t>
        </is>
      </c>
      <c r="F10" s="53" t="inlineStr">
        <is>
          <t>No iniciado</t>
        </is>
      </c>
      <c r="G10" s="53" t="inlineStr">
        <is>
          <t>Baja</t>
        </is>
      </c>
      <c r="H10" s="53" t="inlineStr">
        <is>
          <t>Plan 04, vertiente B. Acordado como trabajo futuro para la versión académica; el POS usa documento equivalente.</t>
        </is>
      </c>
      <c r="I10" s="53" t="inlineStr">
        <is>
          <t>Revisar si es obligatoria para los clientes objetivo antes del lanzamiento comercial.</t>
        </is>
      </c>
      <c r="J10" s="53" t="n"/>
      <c r="K10" s="55" t="n">
        <v>46292</v>
      </c>
      <c r="L10" s="56">
        <f>IF(K10="","",TODAY()-K10)</f>
        <v/>
      </c>
    </row>
    <row r="11" ht="23.25" customHeight="1" s="35">
      <c r="A11" s="53" t="inlineStr">
        <is>
          <t>P05-01</t>
        </is>
      </c>
      <c r="B11" s="54" t="inlineStr">
        <is>
          <t>05</t>
        </is>
      </c>
      <c r="C11" s="53" t="inlineStr">
        <is>
          <t>Infraestructura</t>
        </is>
      </c>
      <c r="D11" s="53" t="inlineStr">
        <is>
          <t>Activar Redis en producción (REDIS_URL) cuando haya varias instancias del servidor</t>
        </is>
      </c>
      <c r="E11" s="53" t="inlineStr">
        <is>
          <t>Pendiente del plan</t>
        </is>
      </c>
      <c r="F11" s="53" t="inlineStr">
        <is>
          <t>Por verificar</t>
        </is>
      </c>
      <c r="G11" s="53" t="inlineStr">
        <is>
          <t>Media</t>
        </is>
      </c>
      <c r="H11" s="53" t="inlineStr">
        <is>
          <t>Plan 05, sección 4. El código ya lo soporta con respaldo en PostgreSQL. No está confirmado si producción tiene REDIS_URL.</t>
        </is>
      </c>
      <c r="I11" s="53" t="inlineStr">
        <is>
          <t>Requisito para el Sprint 6 (2 réplicas) y para el tiempo real con varias réplicas (plan 21, T3).</t>
        </is>
      </c>
      <c r="J11" s="53" t="n"/>
      <c r="K11" s="55" t="n">
        <v>46292</v>
      </c>
      <c r="L11" s="56">
        <f>IF(K11="","",TODAY()-K11)</f>
        <v/>
      </c>
    </row>
    <row r="12" ht="34.5" customHeight="1" s="35">
      <c r="A12" s="53" t="inlineStr">
        <is>
          <t>P06-01</t>
        </is>
      </c>
      <c r="B12" s="54" t="inlineStr">
        <is>
          <t>06</t>
        </is>
      </c>
      <c r="C12" s="53" t="inlineStr">
        <is>
          <t>Notificaciones</t>
        </is>
      </c>
      <c r="D12" s="53" t="inlineStr">
        <is>
          <t>Notificaciones de fases 1 y 2: descuadre de caja, cambio de precio, comunicados, orden enviada y metas de ventas</t>
        </is>
      </c>
      <c r="E12" s="53" t="inlineStr">
        <is>
          <t>Pendiente del plan</t>
        </is>
      </c>
      <c r="F12" s="53" t="inlineStr">
        <is>
          <t>Terminado</t>
        </is>
      </c>
      <c r="G12" s="53" t="inlineStr">
        <is>
          <t>Media</t>
        </is>
      </c>
      <c r="H12" s="53" t="inlineStr">
        <is>
          <t>Tipos descuadre_caja, cambio_precio, anuncio_admin, orden_enviada y meta_ventas presentes en los controladores y en NotificationCenter.jsx.</t>
        </is>
      </c>
      <c r="I12" s="53" t="n"/>
      <c r="J12" s="53" t="n"/>
      <c r="K12" s="55" t="n">
        <v>46292</v>
      </c>
      <c r="L12" s="56">
        <f>IF(K12="","",TODAY()-K12)</f>
        <v/>
      </c>
    </row>
    <row r="13" ht="23.25" customHeight="1" s="35">
      <c r="A13" s="53" t="inlineStr">
        <is>
          <t>P06-02</t>
        </is>
      </c>
      <c r="B13" s="54" t="inlineStr">
        <is>
          <t>06</t>
        </is>
      </c>
      <c r="C13" s="53" t="inlineStr">
        <is>
          <t>Notificaciones</t>
        </is>
      </c>
      <c r="D13" s="53" t="inlineStr">
        <is>
          <t>Umbrales de metas de ventas editables desde el panel del administrador (hoy fijos)</t>
        </is>
      </c>
      <c r="E13" s="53" t="inlineStr">
        <is>
          <t>Trabajo futuro</t>
        </is>
      </c>
      <c r="F13" s="53" t="inlineStr">
        <is>
          <t>No iniciado</t>
        </is>
      </c>
      <c r="G13" s="53" t="inlineStr">
        <is>
          <t>Baja</t>
        </is>
      </c>
      <c r="H13" s="53" t="inlineStr">
        <is>
          <t>Plan 06, punto 5 ("a futuro").</t>
        </is>
      </c>
      <c r="I13" s="53" t="n"/>
      <c r="J13" s="53" t="n"/>
      <c r="K13" s="55" t="n">
        <v>46292</v>
      </c>
      <c r="L13" s="56">
        <f>IF(K13="","",TODAY()-K13)</f>
        <v/>
      </c>
    </row>
    <row r="14" ht="23.25" customHeight="1" s="35">
      <c r="A14" s="53" t="inlineStr">
        <is>
          <t>P07-01</t>
        </is>
      </c>
      <c r="B14" s="54" t="inlineStr">
        <is>
          <t>07</t>
        </is>
      </c>
      <c r="C14" s="53" t="inlineStr">
        <is>
          <t>Móvil</t>
        </is>
      </c>
      <c r="D14" s="53" t="inlineStr">
        <is>
          <t>App nativa del Tendero en Flutter: vender (con fiado), caja con egresos, recibir mercancía, alertas y catálogo</t>
        </is>
      </c>
      <c r="E14" s="53" t="inlineStr">
        <is>
          <t>Pendiente del plan</t>
        </is>
      </c>
      <c r="F14" s="53" t="inlineStr">
        <is>
          <t>En progreso</t>
        </is>
      </c>
      <c r="G14" s="53" t="inlineStr">
        <is>
          <t>Alta</t>
        </is>
      </c>
      <c r="H14" s="53" t="inlineStr">
        <is>
          <t>Plan 07, sección 6 (3-oct). Repositorio aparte; la construye el equipo.</t>
        </is>
      </c>
      <c r="I14" s="53" t="inlineStr">
        <is>
          <t>Sigue en paralelo y sin fecha de piloto; se presenta en la sustentación (nov., día por confirmar). Desde el arranque del piloto: entorno aparte y sin versión nueva (plan 07, 6.1). Decisión del 6-oct.</t>
        </is>
      </c>
      <c r="J14" s="53" t="n"/>
      <c r="K14" s="55" t="n">
        <v>46301</v>
      </c>
      <c r="L14" s="56">
        <f>IF(K14="","",TODAY()-K14)</f>
        <v/>
      </c>
    </row>
    <row r="15" ht="23.25" customHeight="1" s="35">
      <c r="A15" s="53" t="inlineStr">
        <is>
          <t>P07-02</t>
        </is>
      </c>
      <c r="B15" s="54" t="inlineStr">
        <is>
          <t>07</t>
        </is>
      </c>
      <c r="C15" s="53" t="inlineStr">
        <is>
          <t>Backend</t>
        </is>
      </c>
      <c r="D15" s="53" t="inlineStr">
        <is>
          <t>Backend para la app: sesión por canal (web y app a la vez), Ventas.canal y docs/contrato_api_app_tendero.md con prueba por endpoint</t>
        </is>
      </c>
      <c r="E15" s="53" t="inlineStr">
        <is>
          <t>Pendiente del plan</t>
        </is>
      </c>
      <c r="F15" s="53" t="inlineStr">
        <is>
          <t>Terminado</t>
        </is>
      </c>
      <c r="G15" s="53" t="inlineStr">
        <is>
          <t>Alta</t>
        </is>
      </c>
      <c r="H15" s="53" t="inlineStr">
        <is>
          <t>Plan 07, sección 6.3; plan 22, sección 5 (A.1). Rama feat/backend-app-tendero.</t>
        </is>
      </c>
      <c r="I15" s="53" t="inlineStr">
        <is>
          <t>Mezclado en main (merge cb028d9).</t>
        </is>
      </c>
      <c r="J15" s="53" t="n"/>
      <c r="K15" s="55" t="n">
        <v>46301</v>
      </c>
      <c r="L15" s="56">
        <f>IF(K15="","",TODAY()-K15)</f>
        <v/>
      </c>
    </row>
    <row r="16" ht="23.25" customHeight="1" s="35">
      <c r="A16" s="53" t="inlineStr">
        <is>
          <t>P07-03</t>
        </is>
      </c>
      <c r="B16" s="54" t="inlineStr">
        <is>
          <t>07</t>
        </is>
      </c>
      <c r="C16" s="53" t="inlineStr">
        <is>
          <t>Visita</t>
        </is>
      </c>
      <c r="D16" s="53" t="inlineStr">
        <is>
          <t>Guion de la fase 4 (tareas, medidas, cuestionario), autorización de datos y formato de línea base para la visita</t>
        </is>
      </c>
      <c r="E16" s="53" t="inlineStr">
        <is>
          <t>Pendiente del plan</t>
        </is>
      </c>
      <c r="F16" s="53" t="inlineStr">
        <is>
          <t>No iniciado</t>
        </is>
      </c>
      <c r="G16" s="53" t="inlineStr">
        <is>
          <t>Alta</t>
        </is>
      </c>
      <c r="H16" s="53" t="inlineStr">
        <is>
          <t>Plan 22, sección 5 (A.2).</t>
        </is>
      </c>
      <c r="I16" s="53" t="inlineStr">
        <is>
          <t>Antes de la visita, ahora con la web en modo básico y una tienda de demostración (decisión del 6-oct). 9-oct: incluir en el guion la pregunta de pagos (docs/propuesta_verificacion_de_pagos.md, sección 5: qué porcentaje es efectivo y cómo comparan contra el datáfono o el banco) y la forma de medir la exactitud de inventario (P22-26).</t>
        </is>
      </c>
      <c r="J16" s="53" t="n"/>
      <c r="K16" s="55" t="n">
        <v>46304</v>
      </c>
      <c r="L16" s="56">
        <f>IF(K16="","",TODAY()-K16)</f>
        <v/>
      </c>
    </row>
    <row r="17" ht="23.25" customHeight="1" s="35">
      <c r="A17" s="53" t="inlineStr">
        <is>
          <t>P07-04</t>
        </is>
      </c>
      <c r="B17" s="54" t="inlineStr">
        <is>
          <t>07</t>
        </is>
      </c>
      <c r="C17" s="53" t="inlineStr">
        <is>
          <t>Infraestructura</t>
        </is>
      </c>
      <c r="D17" s="53" t="inlineStr">
        <is>
          <t>Decidir si se mantiene despierto Render en horario de tienda con un ping (plan gratuito: se duerme tras 15 min y tarda ~1 min en volver)</t>
        </is>
      </c>
      <c r="E17" s="53" t="inlineStr">
        <is>
          <t>Decisión pendiente</t>
        </is>
      </c>
      <c r="F17" s="53" t="inlineStr">
        <is>
          <t>No iniciado</t>
        </is>
      </c>
      <c r="G17" s="53" t="inlineStr">
        <is>
          <t>Media</t>
        </is>
      </c>
      <c r="H17" s="53" t="inlineStr">
        <is>
          <t>Plan 22, sección 5 (C.5).</t>
        </is>
      </c>
      <c r="I17" s="53" t="inlineStr">
        <is>
          <t>Mientras tanto, abrir la app unos minutos antes de entrar a cada tienda.</t>
        </is>
      </c>
      <c r="J17" s="53" t="n"/>
      <c r="K17" s="55" t="n">
        <v>46292</v>
      </c>
      <c r="L17" s="56">
        <f>IF(K17="","",TODAY()-K17)</f>
        <v/>
      </c>
    </row>
    <row r="18" ht="23.25" customHeight="1" s="35">
      <c r="A18" s="53" t="inlineStr">
        <is>
          <t>P07-05</t>
        </is>
      </c>
      <c r="B18" s="54" t="inlineStr">
        <is>
          <t>07</t>
        </is>
      </c>
      <c r="C18" s="53" t="inlineStr">
        <is>
          <t>Móvil</t>
        </is>
      </c>
      <c r="D18" s="53" t="inlineStr">
        <is>
          <t>Distribución en iPhone (requiere Mac y membresía de pago de Apple para TestFlight)</t>
        </is>
      </c>
      <c r="E18" s="53" t="inlineStr">
        <is>
          <t>Trabajo futuro</t>
        </is>
      </c>
      <c r="F18" s="53" t="inlineStr">
        <is>
          <t>No iniciado</t>
        </is>
      </c>
      <c r="G18" s="53" t="inlineStr">
        <is>
          <t>Baja</t>
        </is>
      </c>
      <c r="H18" s="53" t="inlineStr">
        <is>
          <t>Plan 07, sección 6.3.</t>
        </is>
      </c>
      <c r="I18" s="53" t="inlineStr">
        <is>
          <t>Después del piloto.</t>
        </is>
      </c>
      <c r="J18" s="53" t="n"/>
      <c r="K18" s="55" t="n">
        <v>46292</v>
      </c>
      <c r="L18" s="56">
        <f>IF(K18="","",TODAY()-K18)</f>
        <v/>
      </c>
    </row>
    <row r="19" ht="23.25" customHeight="1" s="35">
      <c r="A19" s="53" t="inlineStr">
        <is>
          <t>P08-01</t>
        </is>
      </c>
      <c r="B19" s="54" t="inlineStr">
        <is>
          <t>08</t>
        </is>
      </c>
      <c r="C19" s="53" t="inlineStr">
        <is>
          <t>Cartera</t>
        </is>
      </c>
      <c r="D19" s="53" t="inlineStr">
        <is>
          <t>Gestión de fiados con clientes, abonos y análisis de riesgo con IA</t>
        </is>
      </c>
      <c r="E19" s="53" t="inlineStr">
        <is>
          <t>Pendiente del plan</t>
        </is>
      </c>
      <c r="F19" s="53" t="inlineStr">
        <is>
          <t>Terminado</t>
        </is>
      </c>
      <c r="G19" s="53" t="inlineStr">
        <is>
          <t>Alta</t>
        </is>
      </c>
      <c r="H19" s="53" t="inlineStr">
        <is>
          <t>CarteraPage.jsx, clienteController.js, aiController.assessClientRisk. Cubierto por cartera.test.js (integración).</t>
        </is>
      </c>
      <c r="I19" s="53" t="n"/>
      <c r="J19" s="53" t="n"/>
      <c r="K19" s="55" t="n">
        <v>46292</v>
      </c>
      <c r="L19" s="56">
        <f>IF(K19="","",TODAY()-K19)</f>
        <v/>
      </c>
    </row>
    <row r="20" ht="23.25" customHeight="1" s="35">
      <c r="A20" s="53" t="inlineStr">
        <is>
          <t>P08-02</t>
        </is>
      </c>
      <c r="B20" s="54" t="inlineStr">
        <is>
          <t>08</t>
        </is>
      </c>
      <c r="C20" s="53" t="inlineStr">
        <is>
          <t>Métodos de pago</t>
        </is>
      </c>
      <c r="D20" s="53" t="inlineStr">
        <is>
          <t>Registrar el método de pago de cada venta y usar solo el efectivo en el arqueo</t>
        </is>
      </c>
      <c r="E20" s="53" t="inlineStr">
        <is>
          <t>Pendiente del plan</t>
        </is>
      </c>
      <c r="F20" s="53" t="inlineStr">
        <is>
          <t>Terminado</t>
        </is>
      </c>
      <c r="G20" s="53" t="inlineStr">
        <is>
          <t>Media</t>
        </is>
      </c>
      <c r="H20" s="53" t="inlineStr">
        <is>
          <t>Implementado en el plan 01 (PaymentModal, Ventas.metodo_pago).</t>
        </is>
      </c>
      <c r="I20" s="53" t="n"/>
      <c r="J20" s="53" t="n"/>
      <c r="K20" s="55" t="n">
        <v>46292</v>
      </c>
      <c r="L20" s="56">
        <f>IF(K20="","",TODAY()-K20)</f>
        <v/>
      </c>
    </row>
    <row r="21" ht="34.5" customHeight="1" s="35">
      <c r="A21" s="53" t="inlineStr">
        <is>
          <t>P08-03</t>
        </is>
      </c>
      <c r="B21" s="54" t="inlineStr">
        <is>
          <t>08</t>
        </is>
      </c>
      <c r="C21" s="53" t="inlineStr">
        <is>
          <t>Analítica</t>
        </is>
      </c>
      <c r="D21" s="53" t="inlineStr">
        <is>
          <t>Panel de rentabilidad por producto: margen × unidades, ranking y alerta de "producto trampa" (clase A con margen &lt; 10 %)</t>
        </is>
      </c>
      <c r="E21" s="53" t="inlineStr">
        <is>
          <t>Pendiente del plan</t>
        </is>
      </c>
      <c r="F21" s="53" t="inlineStr">
        <is>
          <t>Parcial</t>
        </is>
      </c>
      <c r="G21" s="53" t="inlineStr">
        <is>
          <t>Media</t>
        </is>
      </c>
      <c r="H21" s="53" t="inlineStr">
        <is>
          <t>Hoy existe el margen promedio en el Dashboard y una columna de ganancia en el Excel de reportes; no hay vista por producto ni alertas.</t>
        </is>
      </c>
      <c r="I21" s="53" t="n"/>
      <c r="J21" s="53" t="n"/>
      <c r="K21" s="55" t="n">
        <v>46292</v>
      </c>
      <c r="L21" s="56">
        <f>IF(K21="","",TODAY()-K21)</f>
        <v/>
      </c>
    </row>
    <row r="22" ht="23.25" customHeight="1" s="35">
      <c r="A22" s="53" t="inlineStr">
        <is>
          <t>P08-04</t>
        </is>
      </c>
      <c r="B22" s="54" t="inlineStr">
        <is>
          <t>08</t>
        </is>
      </c>
      <c r="C22" s="53" t="inlineStr">
        <is>
          <t>Inventario</t>
        </is>
      </c>
      <c r="D22" s="53" t="inlineStr">
        <is>
          <t>Conteo físico guiado: listar productos, capturar el conteo real, reporte de diferencias valorizado y ajuste masivo</t>
        </is>
      </c>
      <c r="E22" s="53" t="inlineStr">
        <is>
          <t>Pendiente del plan</t>
        </is>
      </c>
      <c r="F22" s="53" t="inlineStr">
        <is>
          <t>Parcial</t>
        </is>
      </c>
      <c r="G22" s="53" t="inlineStr">
        <is>
          <t>Media</t>
        </is>
      </c>
      <c r="H22" s="53" t="inlineStr">
        <is>
          <t>Existe el ajuste individual "por conteo físico" (inventoryController). No hay sesión de conteo ni tablas ConteoFisico/DetalleConteo.</t>
        </is>
      </c>
      <c r="I22" s="53" t="inlineStr">
        <is>
          <t>Sirve de instrumento para el indicador "exactitud de inventario" del piloto (fase 5). 9-oct: ver P22-26 (cómo se mide la exactitud en el piloto mientras esto esté a medias).</t>
        </is>
      </c>
      <c r="J22" s="53" t="n"/>
      <c r="K22" s="55" t="n">
        <v>46304</v>
      </c>
      <c r="L22" s="56">
        <f>IF(K22="","",TODAY()-K22)</f>
        <v/>
      </c>
    </row>
    <row r="23" ht="23.25" customHeight="1" s="35">
      <c r="A23" s="53" t="inlineStr">
        <is>
          <t>P08-05</t>
        </is>
      </c>
      <c r="B23" s="54" t="inlineStr">
        <is>
          <t>08</t>
        </is>
      </c>
      <c r="C23" s="53" t="inlineStr">
        <is>
          <t>Proveedores</t>
        </is>
      </c>
      <c r="D23" s="53" t="inlineStr">
        <is>
          <t>Historial de precios de costo por producto y proveedor, con gráfica de evolución</t>
        </is>
      </c>
      <c r="E23" s="53" t="inlineStr">
        <is>
          <t>Pendiente del plan</t>
        </is>
      </c>
      <c r="F23" s="53" t="inlineStr">
        <is>
          <t>No iniciado</t>
        </is>
      </c>
      <c r="G23" s="53" t="inlineStr">
        <is>
          <t>Media</t>
        </is>
      </c>
      <c r="H23" s="53" t="inlineStr">
        <is>
          <t>Historial_Precios registra cambios del precio de venta hechos por estrategias de IA, no del costo.</t>
        </is>
      </c>
      <c r="I23" s="53" t="n"/>
      <c r="J23" s="53" t="n"/>
      <c r="K23" s="55" t="n">
        <v>46292</v>
      </c>
      <c r="L23" s="56">
        <f>IF(K23="","",TODAY()-K23)</f>
        <v/>
      </c>
    </row>
    <row r="24" ht="23.25" customHeight="1" s="35">
      <c r="A24" s="53" t="inlineStr">
        <is>
          <t>P08-06</t>
        </is>
      </c>
      <c r="B24" s="54" t="inlineStr">
        <is>
          <t>08</t>
        </is>
      </c>
      <c r="C24" s="53" t="inlineStr">
        <is>
          <t>Notificaciones</t>
        </is>
      </c>
      <c r="D24" s="53" t="inlineStr">
        <is>
          <t>Notificaciones push en el celular (Web Push con service worker)</t>
        </is>
      </c>
      <c r="E24" s="53" t="inlineStr">
        <is>
          <t>Pendiente del plan</t>
        </is>
      </c>
      <c r="F24" s="53" t="inlineStr">
        <is>
          <t>No iniciado</t>
        </is>
      </c>
      <c r="G24" s="53" t="inlineStr">
        <is>
          <t>Media</t>
        </is>
      </c>
      <c r="H24" s="53" t="inlineStr">
        <is>
          <t>Plan 08, punto 6. Relacionado con las alertas en tiempo real del plan 21.</t>
        </is>
      </c>
      <c r="I24" s="53" t="n"/>
      <c r="J24" s="53" t="n"/>
      <c r="K24" s="55" t="n">
        <v>46292</v>
      </c>
      <c r="L24" s="56">
        <f>IF(K24="","",TODAY()-K24)</f>
        <v/>
      </c>
    </row>
    <row r="25" ht="34.5" customHeight="1" s="35">
      <c r="A25" s="53" t="inlineStr">
        <is>
          <t>P08-07</t>
        </is>
      </c>
      <c r="B25" s="54" t="inlineStr">
        <is>
          <t>08</t>
        </is>
      </c>
      <c r="C25" s="53" t="inlineStr">
        <is>
          <t>Canales</t>
        </is>
      </c>
      <c r="D25" s="53" t="inlineStr">
        <is>
          <t>Integración con WhatsApp para alertas y pedidos</t>
        </is>
      </c>
      <c r="E25" s="53" t="inlineStr">
        <is>
          <t>Trabajo futuro</t>
        </is>
      </c>
      <c r="F25" s="53" t="inlineStr">
        <is>
          <t>No iniciado</t>
        </is>
      </c>
      <c r="G25" s="53" t="inlineStr">
        <is>
          <t>Media</t>
        </is>
      </c>
      <c r="H25" s="53" t="inlineStr">
        <is>
          <t>Plan 08, tier 3.</t>
        </is>
      </c>
      <c r="I25" s="53" t="inlineStr">
        <is>
          <t>Decisión previa de Luis: whatsapp-web.js detrás de una capa de abstracción para el MVP académico; API oficial de Meta para el lanzamiento comercial.</t>
        </is>
      </c>
      <c r="J25" s="53" t="n"/>
      <c r="K25" s="55" t="n">
        <v>46292</v>
      </c>
      <c r="L25" s="56">
        <f>IF(K25="","",TODAY()-K25)</f>
        <v/>
      </c>
    </row>
    <row r="26" ht="15" customHeight="1" s="35">
      <c r="A26" s="53" t="inlineStr">
        <is>
          <t>P08-08</t>
        </is>
      </c>
      <c r="B26" s="54" t="inlineStr">
        <is>
          <t>08</t>
        </is>
      </c>
      <c r="C26" s="53" t="inlineStr">
        <is>
          <t>Canales</t>
        </is>
      </c>
      <c r="D26" s="53" t="inlineStr">
        <is>
          <t>Catálogo público de la tienda ("vitrina digital") para los clientes del barrio</t>
        </is>
      </c>
      <c r="E26" s="53" t="inlineStr">
        <is>
          <t>Trabajo futuro</t>
        </is>
      </c>
      <c r="F26" s="53" t="inlineStr">
        <is>
          <t>No iniciado</t>
        </is>
      </c>
      <c r="G26" s="53" t="inlineStr">
        <is>
          <t>Baja</t>
        </is>
      </c>
      <c r="H26" s="53" t="inlineStr">
        <is>
          <t>Plan 08, tier 3.</t>
        </is>
      </c>
      <c r="I26" s="53" t="n"/>
      <c r="J26" s="53" t="n"/>
      <c r="K26" s="55" t="n">
        <v>46292</v>
      </c>
      <c r="L26" s="56">
        <f>IF(K26="","",TODAY()-K26)</f>
        <v/>
      </c>
    </row>
    <row r="27" ht="34.5" customHeight="1" s="35">
      <c r="A27" s="53" t="inlineStr">
        <is>
          <t>P08-09</t>
        </is>
      </c>
      <c r="B27" s="54" t="inlineStr">
        <is>
          <t>08</t>
        </is>
      </c>
      <c r="C27" s="53" t="inlineStr">
        <is>
          <t>Multi-tienda</t>
        </is>
      </c>
      <c r="D27" s="53" t="inlineStr">
        <is>
          <t>Vista consolidada de varias tiendas para un mismo administrador</t>
        </is>
      </c>
      <c r="E27" s="53" t="inlineStr">
        <is>
          <t>Trabajo futuro</t>
        </is>
      </c>
      <c r="F27" s="53" t="inlineStr">
        <is>
          <t>Por verificar</t>
        </is>
      </c>
      <c r="G27" s="53" t="inlineStr">
        <is>
          <t>Baja</t>
        </is>
      </c>
      <c r="H27" s="53" t="inlineStr">
        <is>
          <t>Plan 08, tier 3. Hay soporte de varias tiendas (TiendasPage, scripts/migrate_multistore.js); falta confirmar si existe una vista consolidada.</t>
        </is>
      </c>
      <c r="I27" s="53" t="n"/>
      <c r="J27" s="53" t="n"/>
      <c r="K27" s="55" t="n">
        <v>46292</v>
      </c>
      <c r="L27" s="56">
        <f>IF(K27="","",TODAY()-K27)</f>
        <v/>
      </c>
    </row>
    <row r="28" ht="34.5" customHeight="1" s="35">
      <c r="A28" s="53" t="inlineStr">
        <is>
          <t>P09-01</t>
        </is>
      </c>
      <c r="B28" s="54" t="inlineStr">
        <is>
          <t>09</t>
        </is>
      </c>
      <c r="C28" s="53" t="inlineStr">
        <is>
          <t>UX</t>
        </is>
      </c>
      <c r="D28" s="53" t="inlineStr">
        <is>
          <t>La barra lateral queda por encima del fondo de los modales y se puede navegar con un cobro a medias</t>
        </is>
      </c>
      <c r="E28" s="53" t="inlineStr">
        <is>
          <t>Observación / defecto</t>
        </is>
      </c>
      <c r="F28" s="53" t="inlineStr">
        <is>
          <t>Parcial</t>
        </is>
      </c>
      <c r="G28" s="53" t="inlineStr">
        <is>
          <t>Media</t>
        </is>
      </c>
      <c r="H28" s="53" t="inlineStr">
        <is>
          <t>En escritorio ya está resuelto (Sidebar z-40 frente a modales z-50/z-100). En móvil el menú abierto usa z-[200]: verificar a 390 px con un modal abierto.</t>
        </is>
      </c>
      <c r="I28" s="53" t="inlineStr">
        <is>
          <t>Reportado también en el plan 14, observación 1.</t>
        </is>
      </c>
      <c r="J28" s="53" t="n"/>
      <c r="K28" s="55" t="n">
        <v>46292</v>
      </c>
      <c r="L28" s="56">
        <f>IF(K28="","",TODAY()-K28)</f>
        <v/>
      </c>
    </row>
    <row r="29" ht="15" customHeight="1" s="35">
      <c r="A29" s="53" t="inlineStr">
        <is>
          <t>P09-02</t>
        </is>
      </c>
      <c r="B29" s="54" t="inlineStr">
        <is>
          <t>09</t>
        </is>
      </c>
      <c r="C29" s="53" t="inlineStr">
        <is>
          <t>UX</t>
        </is>
      </c>
      <c r="D29" s="53" t="inlineStr">
        <is>
          <t>Auditoría: 5 tarjetas en una grilla de 4 columnas deja la última sola</t>
        </is>
      </c>
      <c r="E29" s="53" t="inlineStr">
        <is>
          <t>Observación / defecto</t>
        </is>
      </c>
      <c r="F29" s="53" t="inlineStr">
        <is>
          <t>Por verificar</t>
        </is>
      </c>
      <c r="G29" s="53" t="inlineStr">
        <is>
          <t>Baja</t>
        </is>
      </c>
      <c r="H29" s="53" t="inlineStr">
        <is>
          <t>AuditoriaPage.jsx sigue con lg:grid-cols-4.</t>
        </is>
      </c>
      <c r="I29" s="53" t="n"/>
      <c r="J29" s="53" t="n"/>
      <c r="K29" s="55" t="n">
        <v>46292</v>
      </c>
      <c r="L29" s="56">
        <f>IF(K29="","",TODAY()-K29)</f>
        <v/>
      </c>
    </row>
    <row r="30" ht="34.5" customHeight="1" s="35">
      <c r="A30" s="53" t="inlineStr">
        <is>
          <t>P09-03</t>
        </is>
      </c>
      <c r="B30" s="54" t="inlineStr">
        <is>
          <t>09</t>
        </is>
      </c>
      <c r="C30" s="53" t="inlineStr">
        <is>
          <t>POS</t>
        </is>
      </c>
      <c r="D30" s="53" t="inlineStr">
        <is>
          <t>Historial de ventas sin paginación: cargarMasVentas existe pero no está conectado a ningún botón</t>
        </is>
      </c>
      <c r="E30" s="53" t="inlineStr">
        <is>
          <t>Observación / defecto</t>
        </is>
      </c>
      <c r="F30" s="53" t="inlineStr">
        <is>
          <t>No iniciado</t>
        </is>
      </c>
      <c r="G30" s="53" t="inlineStr">
        <is>
          <t>Media</t>
        </is>
      </c>
      <c r="H30" s="53" t="inlineStr">
        <is>
          <t>TODO en frontend/src/components/puntoventa/HistorialVentasTab.jsx, línea 70.</t>
        </is>
      </c>
      <c r="I30" s="53" t="inlineStr">
        <is>
          <t>Solo se ve la primera página de ventas.</t>
        </is>
      </c>
      <c r="J30" s="53" t="n"/>
      <c r="K30" s="55" t="n">
        <v>46292</v>
      </c>
      <c r="L30" s="56">
        <f>IF(K30="","",TODAY()-K30)</f>
        <v/>
      </c>
    </row>
    <row r="31" ht="23.25" customHeight="1" s="35">
      <c r="A31" s="53" t="inlineStr">
        <is>
          <t>P09-04</t>
        </is>
      </c>
      <c r="B31" s="54" t="inlineStr">
        <is>
          <t>09</t>
        </is>
      </c>
      <c r="C31" s="53" t="inlineStr">
        <is>
          <t>Dependencias</t>
        </is>
      </c>
      <c r="D31" s="53" t="inlineStr">
        <is>
          <t>react-router-dom y axios están en devDependencies siendo dependencias de ejecución</t>
        </is>
      </c>
      <c r="E31" s="53" t="inlineStr">
        <is>
          <t>Observación / defecto</t>
        </is>
      </c>
      <c r="F31" s="53" t="inlineStr">
        <is>
          <t>No iniciado</t>
        </is>
      </c>
      <c r="G31" s="53" t="inlineStr">
        <is>
          <t>Baja</t>
        </is>
      </c>
      <c r="H31" s="53" t="inlineStr">
        <is>
          <t>frontend/package.json.</t>
        </is>
      </c>
      <c r="I31" s="53" t="inlineStr">
        <is>
          <t>Puede romper un build que instale solo dependencias de producción.</t>
        </is>
      </c>
      <c r="J31" s="53" t="n"/>
      <c r="K31" s="55" t="n">
        <v>46292</v>
      </c>
      <c r="L31" s="56">
        <f>IF(K31="","",TODAY()-K31)</f>
        <v/>
      </c>
    </row>
    <row r="32" ht="23.25" customHeight="1" s="35">
      <c r="A32" s="53" t="inlineStr">
        <is>
          <t>P09-05</t>
        </is>
      </c>
      <c r="B32" s="54" t="inlineStr">
        <is>
          <t>09</t>
        </is>
      </c>
      <c r="C32" s="53" t="inlineStr">
        <is>
          <t>Rendimiento</t>
        </is>
      </c>
      <c r="D32" s="53" t="inlineStr">
        <is>
          <t>Chunks del frontend mayores a 500 kB; cargar recharts y las rutas de forma diferida</t>
        </is>
      </c>
      <c r="E32" s="53" t="inlineStr">
        <is>
          <t>Observación / defecto</t>
        </is>
      </c>
      <c r="F32" s="53" t="inlineStr">
        <is>
          <t>No iniciado</t>
        </is>
      </c>
      <c r="G32" s="53" t="inlineStr">
        <is>
          <t>Media</t>
        </is>
      </c>
      <c r="H32" s="53" t="inlineStr">
        <is>
          <t>Plan 09, sección 6. Solo 2 de 23 páginas usan lazy().</t>
        </is>
      </c>
      <c r="I32" s="53" t="inlineStr">
        <is>
          <t>Incluido en el plan 21, R3 punto 4.</t>
        </is>
      </c>
      <c r="J32" s="53" t="n"/>
      <c r="K32" s="55" t="n">
        <v>46292</v>
      </c>
      <c r="L32" s="56">
        <f>IF(K32="","",TODAY()-K32)</f>
        <v/>
      </c>
    </row>
    <row r="33" ht="23.25" customHeight="1" s="35">
      <c r="A33" s="53" t="inlineStr">
        <is>
          <t>P09-06</t>
        </is>
      </c>
      <c r="B33" s="54" t="inlineStr">
        <is>
          <t>09</t>
        </is>
      </c>
      <c r="C33" s="53" t="inlineStr">
        <is>
          <t>Diseño</t>
        </is>
      </c>
      <c r="D33" s="53" t="inlineStr">
        <is>
          <t>Tokens de @theme que solo usa JS (ToastContext) pueden dejar de emitirse si ninguna clase los usa</t>
        </is>
      </c>
      <c r="E33" s="53" t="inlineStr">
        <is>
          <t>Observación / defecto</t>
        </is>
      </c>
      <c r="F33" s="53" t="inlineStr">
        <is>
          <t>No iniciado</t>
        </is>
      </c>
      <c r="G33" s="53" t="inlineStr">
        <is>
          <t>Baja</t>
        </is>
      </c>
      <c r="H33" s="53" t="inlineStr">
        <is>
          <t>Plan 09, sección 6.</t>
        </is>
      </c>
      <c r="I33" s="53" t="n"/>
      <c r="J33" s="53" t="n"/>
      <c r="K33" s="55" t="n">
        <v>46292</v>
      </c>
      <c r="L33" s="56">
        <f>IF(K33="","",TODAY()-K33)</f>
        <v/>
      </c>
    </row>
    <row r="34" ht="23.25" customHeight="1" s="35">
      <c r="A34" s="53" t="inlineStr">
        <is>
          <t>P10-01</t>
        </is>
      </c>
      <c r="B34" s="54" t="inlineStr">
        <is>
          <t>10</t>
        </is>
      </c>
      <c r="C34" s="53" t="inlineStr">
        <is>
          <t>Calidad</t>
        </is>
      </c>
      <c r="D34" s="53" t="inlineStr">
        <is>
          <t>Agregar eslint.config.js y la dependencia eslint al backend para que el lint corra en CI</t>
        </is>
      </c>
      <c r="E34" s="53" t="inlineStr">
        <is>
          <t>Pendiente del plan</t>
        </is>
      </c>
      <c r="F34" s="53" t="inlineStr">
        <is>
          <t>No iniciado</t>
        </is>
      </c>
      <c r="G34" s="53" t="inlineStr">
        <is>
          <t>Media</t>
        </is>
      </c>
      <c r="H34" s="53" t="inlineStr">
        <is>
          <t>Plan 10, secciones 2 y 4. No existe eslint.config.* en la raíz.</t>
        </is>
      </c>
      <c r="I34" s="53" t="n"/>
      <c r="J34" s="53" t="n"/>
      <c r="K34" s="55" t="n">
        <v>46292</v>
      </c>
      <c r="L34" s="56">
        <f>IF(K34="","",TODAY()-K34)</f>
        <v/>
      </c>
    </row>
    <row r="35" ht="23.25" customHeight="1" s="35">
      <c r="A35" s="53" t="inlineStr">
        <is>
          <t>P10-02</t>
        </is>
      </c>
      <c r="B35" s="54" t="inlineStr">
        <is>
          <t>10</t>
        </is>
      </c>
      <c r="C35" s="53" t="inlineStr">
        <is>
          <t>Pruebas</t>
        </is>
      </c>
      <c r="D35" s="53" t="inlineStr">
        <is>
          <t>Plantilla de generar_reporte.js: versión de Vitest corregida (v4), pero sigue diciendo "Certificado Oficial" y "Production-Ready"</t>
        </is>
      </c>
      <c r="E35" s="53" t="inlineStr">
        <is>
          <t>Observación / defecto</t>
        </is>
      </c>
      <c r="F35" s="53" t="inlineStr">
        <is>
          <t>Parcial</t>
        </is>
      </c>
      <c r="G35" s="53" t="inlineStr">
        <is>
          <t>Media</t>
        </is>
      </c>
      <c r="H35" s="53" t="inlineStr">
        <is>
          <t>generar_reporte.js, líneas 68-108.</t>
        </is>
      </c>
      <c r="I35" s="53" t="inlineStr">
        <is>
          <t>Corregir el tono antes de anexar el reporte a un entregable.</t>
        </is>
      </c>
      <c r="J35" s="53" t="n"/>
      <c r="K35" s="55" t="n">
        <v>46292</v>
      </c>
      <c r="L35" s="56">
        <f>IF(K35="","",TODAY()-K35)</f>
        <v/>
      </c>
    </row>
    <row r="36" ht="23.25" customHeight="1" s="35">
      <c r="A36" s="53" t="inlineStr">
        <is>
          <t>P10-03</t>
        </is>
      </c>
      <c r="B36" s="54" t="inlineStr">
        <is>
          <t>10</t>
        </is>
      </c>
      <c r="C36" s="53" t="inlineStr">
        <is>
          <t>Seguridad</t>
        </is>
      </c>
      <c r="D36" s="53" t="inlineStr">
        <is>
          <t>test_disable_2fa.js en la raíz inserta datos en la base real</t>
        </is>
      </c>
      <c r="E36" s="53" t="inlineStr">
        <is>
          <t>Observación / defecto</t>
        </is>
      </c>
      <c r="F36" s="53" t="inlineStr">
        <is>
          <t>No iniciado</t>
        </is>
      </c>
      <c r="G36" s="53" t="inlineStr">
        <is>
          <t>Baja</t>
        </is>
      </c>
      <c r="H36" s="53" t="inlineStr">
        <is>
          <t>Plan 10, sección 3.2.</t>
        </is>
      </c>
      <c r="I36" s="53" t="inlineStr">
        <is>
          <t>Moverlo a scripts/ con la protección de base de pruebas o eliminarlo.</t>
        </is>
      </c>
      <c r="J36" s="53" t="n"/>
      <c r="K36" s="55" t="n">
        <v>46292</v>
      </c>
      <c r="L36" s="56">
        <f>IF(K36="","",TODAY()-K36)</f>
        <v/>
      </c>
    </row>
    <row r="37" ht="23.25" customHeight="1" s="35">
      <c r="A37" s="53" t="inlineStr">
        <is>
          <t>P10-04</t>
        </is>
      </c>
      <c r="B37" s="54" t="inlineStr">
        <is>
          <t>10</t>
        </is>
      </c>
      <c r="C37" s="53" t="inlineStr">
        <is>
          <t>Datos</t>
        </is>
      </c>
      <c r="D37" s="53" t="inlineStr">
        <is>
          <t>seed_test_data.js hace TRUNCATE de todas las tablas sin verificar a qué base apunta</t>
        </is>
      </c>
      <c r="E37" s="53" t="inlineStr">
        <is>
          <t>Observación / defecto</t>
        </is>
      </c>
      <c r="F37" s="53" t="inlineStr">
        <is>
          <t>Terminado</t>
        </is>
      </c>
      <c r="G37" s="53" t="inlineStr">
        <is>
          <t>Media</t>
        </is>
      </c>
      <c r="H37" s="53" t="inlineStr">
        <is>
          <t>database/guardiaSemilla.js: seed_test_data.js evalúa la guardia ANTES de cargar config/database.js y solo corre contra una base local (fix/seed-produccion, mezclada en main el 28-sep).</t>
        </is>
      </c>
      <c r="I37" s="53" t="inlineStr">
        <is>
          <t>Agregar la misma protección de setupTestDb.js (nombre terminado en _test y host local).</t>
        </is>
      </c>
      <c r="J37" s="53" t="inlineStr">
        <is>
          <t>Agente (Claude Code)</t>
        </is>
      </c>
      <c r="K37" s="55" t="n">
        <v>46304</v>
      </c>
      <c r="L37" s="56">
        <f>IF(K37="","",TODAY()-K37)</f>
        <v/>
      </c>
    </row>
    <row r="38" ht="23.25" customHeight="1" s="35">
      <c r="A38" s="53" t="inlineStr">
        <is>
          <t>P11-01</t>
        </is>
      </c>
      <c r="B38" s="54" t="inlineStr">
        <is>
          <t>11</t>
        </is>
      </c>
      <c r="C38" s="53" t="inlineStr">
        <is>
          <t>Motor</t>
        </is>
      </c>
      <c r="D38" s="53" t="inlineStr">
        <is>
          <t>Acotar la tendencia (0,5× a 2×) y exigir un mínimo de ventas</t>
        </is>
      </c>
      <c r="E38" s="53" t="inlineStr">
        <is>
          <t>Observación / defecto</t>
        </is>
      </c>
      <c r="F38" s="53" t="inlineStr">
        <is>
          <t>Terminado</t>
        </is>
      </c>
      <c r="G38" s="53" t="inlineStr">
        <is>
          <t>Media</t>
        </is>
      </c>
      <c r="H38" s="53" t="inlineStr">
        <is>
          <t>utils/reposicion.js: TENDENCIA_MIN/MAX y MIN_VENTAS_PARA_TENDENCIA.</t>
        </is>
      </c>
      <c r="I38" s="53" t="n"/>
      <c r="J38" s="53" t="n"/>
      <c r="K38" s="55" t="n">
        <v>46292</v>
      </c>
      <c r="L38" s="56">
        <f>IF(K38="","",TODAY()-K38)</f>
        <v/>
      </c>
    </row>
    <row r="39" ht="23.25" customHeight="1" s="35">
      <c r="A39" s="53" t="inlineStr">
        <is>
          <t>P11-02</t>
        </is>
      </c>
      <c r="B39" s="54" t="inlineStr">
        <is>
          <t>11</t>
        </is>
      </c>
      <c r="C39" s="53" t="inlineStr">
        <is>
          <t>IA</t>
        </is>
      </c>
      <c r="D39" s="53" t="inlineStr">
        <is>
          <t>Confianza 50 %/20 % en todas las tarjetas mientras no haya historial en Feedback_IA</t>
        </is>
      </c>
      <c r="E39" s="53" t="inlineStr">
        <is>
          <t>Observación / defecto</t>
        </is>
      </c>
      <c r="F39" s="53" t="inlineStr">
        <is>
          <t>No iniciado</t>
        </is>
      </c>
      <c r="G39" s="53" t="inlineStr">
        <is>
          <t>Baja</t>
        </is>
      </c>
      <c r="H39" s="53" t="inlineStr">
        <is>
          <t>Plan 11, sección 5.</t>
        </is>
      </c>
      <c r="I39" s="53" t="inlineStr">
        <is>
          <t>Ya no se resuelve con los datos del piloto: el modo básico no muestra la IA y el piloto no la evalúa (plan 23). Con el evaluador corregido (P23-01) se podrá medir en el modo avanzado.</t>
        </is>
      </c>
      <c r="J39" s="53" t="n"/>
      <c r="K39" s="55" t="n">
        <v>46301</v>
      </c>
      <c r="L39" s="56">
        <f>IF(K39="","",TODAY()-K39)</f>
        <v/>
      </c>
    </row>
    <row r="40" ht="15" customHeight="1" s="35">
      <c r="A40" s="53" t="inlineStr">
        <is>
          <t>P12-01</t>
        </is>
      </c>
      <c r="B40" s="54" t="inlineStr">
        <is>
          <t>12</t>
        </is>
      </c>
      <c r="C40" s="53" t="inlineStr">
        <is>
          <t>UX</t>
        </is>
      </c>
      <c r="D40" s="53" t="inlineStr">
        <is>
          <t>Tabla de Movimientos: la columna Observaciones queda fuera de vista</t>
        </is>
      </c>
      <c r="E40" s="53" t="inlineStr">
        <is>
          <t>Observación / defecto</t>
        </is>
      </c>
      <c r="F40" s="53" t="inlineStr">
        <is>
          <t>No iniciado</t>
        </is>
      </c>
      <c r="G40" s="53" t="inlineStr">
        <is>
          <t>Baja</t>
        </is>
      </c>
      <c r="H40" s="53" t="inlineStr">
        <is>
          <t>Plan 12, sección 5.</t>
        </is>
      </c>
      <c r="I40" s="53" t="n"/>
      <c r="J40" s="53" t="n"/>
      <c r="K40" s="55" t="n">
        <v>46292</v>
      </c>
      <c r="L40" s="56">
        <f>IF(K40="","",TODAY()-K40)</f>
        <v/>
      </c>
    </row>
    <row r="41" ht="23.25" customHeight="1" s="35">
      <c r="A41" s="53" t="inlineStr">
        <is>
          <t>P12-02</t>
        </is>
      </c>
      <c r="B41" s="54" t="inlineStr">
        <is>
          <t>12</t>
        </is>
      </c>
      <c r="C41" s="53" t="inlineStr">
        <is>
          <t>UX</t>
        </is>
      </c>
      <c r="D41" s="53" t="inlineStr">
        <is>
          <t>Columna de producto estrecha en Productos y Movimientos (nombres largos en 3 líneas)</t>
        </is>
      </c>
      <c r="E41" s="53" t="inlineStr">
        <is>
          <t>Observación / defecto</t>
        </is>
      </c>
      <c r="F41" s="53" t="inlineStr">
        <is>
          <t>No iniciado</t>
        </is>
      </c>
      <c r="G41" s="53" t="inlineStr">
        <is>
          <t>Baja</t>
        </is>
      </c>
      <c r="H41" s="53" t="inlineStr">
        <is>
          <t>Plan 12, sección 5, y plan 14, observación 6.</t>
        </is>
      </c>
      <c r="I41" s="53" t="n"/>
      <c r="J41" s="53" t="n"/>
      <c r="K41" s="55" t="n">
        <v>46292</v>
      </c>
      <c r="L41" s="56">
        <f>IF(K41="","",TODAY()-K41)</f>
        <v/>
      </c>
    </row>
    <row r="42" ht="15" customHeight="1" s="35">
      <c r="A42" s="53" t="inlineStr">
        <is>
          <t>P12-03</t>
        </is>
      </c>
      <c r="B42" s="54" t="inlineStr">
        <is>
          <t>12</t>
        </is>
      </c>
      <c r="C42" s="53" t="inlineStr">
        <is>
          <t>Motor</t>
        </is>
      </c>
      <c r="D42" s="53" t="inlineStr">
        <is>
          <t>Productos con unidades marcados como "AGOTADO"</t>
        </is>
      </c>
      <c r="E42" s="53" t="inlineStr">
        <is>
          <t>Observación / defecto</t>
        </is>
      </c>
      <c r="F42" s="53" t="inlineStr">
        <is>
          <t>Terminado</t>
        </is>
      </c>
      <c r="G42" s="53" t="inlineStr">
        <is>
          <t>Media</t>
        </is>
      </c>
      <c r="H42" s="53" t="inlineStr">
        <is>
          <t>Resuelto con los niveles agotado/crítico/reponer/ok del plan 17.</t>
        </is>
      </c>
      <c r="I42" s="53" t="n"/>
      <c r="J42" s="53" t="n"/>
      <c r="K42" s="55" t="n">
        <v>46292</v>
      </c>
      <c r="L42" s="56">
        <f>IF(K42="","",TODAY()-K42)</f>
        <v/>
      </c>
    </row>
    <row r="43" ht="15" customHeight="1" s="35">
      <c r="A43" s="53" t="inlineStr">
        <is>
          <t>P12-04</t>
        </is>
      </c>
      <c r="B43" s="54" t="inlineStr">
        <is>
          <t>12</t>
        </is>
      </c>
      <c r="C43" s="53" t="inlineStr">
        <is>
          <t>Diseño</t>
        </is>
      </c>
      <c r="D43" s="53" t="inlineStr">
        <is>
          <t>La utilidad titular fija line-height 1 y junta los títulos de dos líneas</t>
        </is>
      </c>
      <c r="E43" s="53" t="inlineStr">
        <is>
          <t>Observación / defecto</t>
        </is>
      </c>
      <c r="F43" s="53" t="inlineStr">
        <is>
          <t>No iniciado</t>
        </is>
      </c>
      <c r="G43" s="53" t="inlineStr">
        <is>
          <t>Baja</t>
        </is>
      </c>
      <c r="H43" s="53" t="inlineStr">
        <is>
          <t>Plan 12, sección 5.</t>
        </is>
      </c>
      <c r="I43" s="53" t="inlineStr">
        <is>
          <t>Subir a 1,05 si molesta.</t>
        </is>
      </c>
      <c r="J43" s="53" t="n"/>
      <c r="K43" s="55" t="n">
        <v>46292</v>
      </c>
      <c r="L43" s="56">
        <f>IF(K43="","",TODAY()-K43)</f>
        <v/>
      </c>
    </row>
    <row r="44" ht="23.25" customHeight="1" s="35">
      <c r="A44" s="53" t="inlineStr">
        <is>
          <t>P13-01</t>
        </is>
      </c>
      <c r="B44" s="54" t="inlineStr">
        <is>
          <t>13</t>
        </is>
      </c>
      <c r="C44" s="53" t="inlineStr">
        <is>
          <t>Proveedores</t>
        </is>
      </c>
      <c r="D44" s="53" t="inlineStr">
        <is>
          <t>Máquina de estados formal en PATCH /api/ordenes/:id/estado (hoy solo rechaza "Completada" y acepta cualquier otro texto)</t>
        </is>
      </c>
      <c r="E44" s="53" t="inlineStr">
        <is>
          <t>Pendiente del plan</t>
        </is>
      </c>
      <c r="F44" s="53" t="inlineStr">
        <is>
          <t>Parcial</t>
        </is>
      </c>
      <c r="G44" s="53" t="inlineStr">
        <is>
          <t>Alta</t>
        </is>
      </c>
      <c r="H44" s="53" t="inlineStr">
        <is>
          <t>controllers/suppliersController.js, updateOrderStatus (líneas 275-286): solo rechaza «Completada»; acepta cualquier otro texto desde cualquier estado. Plan 13, secciones 10 y 13.</t>
        </is>
      </c>
      <c r="I44" s="53" t="inlineStr">
        <is>
          <t>Sube a Alta el 9-oct: con «Parcial» (P21-10), una orden «Completada» se puede devolver a «Borrador» o «Aprobada» por esta ruta y volver a recibirse, y eso mueve stock y Kardex, que son datos del piloto. Antes del arranque.</t>
        </is>
      </c>
      <c r="J44" s="53" t="inlineStr">
        <is>
          <t>Agente (Claude Code)</t>
        </is>
      </c>
      <c r="K44" s="55" t="n">
        <v>46304</v>
      </c>
      <c r="L44" s="56">
        <f>IF(K44="","",TODAY()-K44)</f>
        <v/>
      </c>
    </row>
    <row r="45" ht="23.25" customHeight="1" s="35">
      <c r="A45" s="53" t="inlineStr">
        <is>
          <t>P14-01</t>
        </is>
      </c>
      <c r="B45" s="54" t="inlineStr">
        <is>
          <t>14</t>
        </is>
      </c>
      <c r="C45" s="53" t="inlineStr">
        <is>
          <t>UX</t>
        </is>
      </c>
      <c r="D45" s="53" t="inlineStr">
        <is>
          <t>Los avisos (toasts) tapan los botones de la esquina superior derecha durante unos 5 segundos</t>
        </is>
      </c>
      <c r="E45" s="53" t="inlineStr">
        <is>
          <t>Observación / defecto</t>
        </is>
      </c>
      <c r="F45" s="53" t="inlineStr">
        <is>
          <t>No iniciado</t>
        </is>
      </c>
      <c r="G45" s="53" t="inlineStr">
        <is>
          <t>Baja</t>
        </is>
      </c>
      <c r="H45" s="53" t="inlineStr">
        <is>
          <t>ToastContext.jsx: top 20 px, right 20 px.</t>
        </is>
      </c>
      <c r="I45" s="53" t="n"/>
      <c r="J45" s="53" t="n"/>
      <c r="K45" s="55" t="n">
        <v>46292</v>
      </c>
      <c r="L45" s="56">
        <f>IF(K45="","",TODAY()-K45)</f>
        <v/>
      </c>
    </row>
    <row r="46" ht="23.25" customHeight="1" s="35">
      <c r="A46" s="53" t="inlineStr">
        <is>
          <t>P14-02</t>
        </is>
      </c>
      <c r="B46" s="54" t="inlineStr">
        <is>
          <t>14</t>
        </is>
      </c>
      <c r="C46" s="53" t="inlineStr">
        <is>
          <t>Caja</t>
        </is>
      </c>
      <c r="D46" s="53" t="inlineStr">
        <is>
          <t>Si falla la consulta de la caja, el modal ofrece "Abrir caja" aunque haya un turno abierto</t>
        </is>
      </c>
      <c r="E46" s="53" t="inlineStr">
        <is>
          <t>Observación / defecto</t>
        </is>
      </c>
      <c r="F46" s="53" t="inlineStr">
        <is>
          <t>No iniciado</t>
        </is>
      </c>
      <c r="G46" s="53" t="inlineStr">
        <is>
          <t>Media</t>
        </is>
      </c>
      <c r="H46" s="53" t="inlineStr">
        <is>
          <t>Plan 14, observación 4.</t>
        </is>
      </c>
      <c r="I46" s="53" t="inlineStr">
        <is>
          <t>Distinguir "sin turno" de "no se pudo consultar".</t>
        </is>
      </c>
      <c r="J46" s="53" t="n"/>
      <c r="K46" s="55" t="n">
        <v>46292</v>
      </c>
      <c r="L46" s="56">
        <f>IF(K46="","",TODAY()-K46)</f>
        <v/>
      </c>
    </row>
    <row r="47" ht="15" customHeight="1" s="35">
      <c r="A47" s="53" t="inlineStr">
        <is>
          <t>P14-03</t>
        </is>
      </c>
      <c r="B47" s="54" t="inlineStr">
        <is>
          <t>14</t>
        </is>
      </c>
      <c r="C47" s="53" t="inlineStr">
        <is>
          <t>UX</t>
        </is>
      </c>
      <c r="D47" s="53" t="inlineStr">
        <is>
          <t>Avisos de error duplicados en desarrollo (React StrictMode)</t>
        </is>
      </c>
      <c r="E47" s="53" t="inlineStr">
        <is>
          <t>Observación / defecto</t>
        </is>
      </c>
      <c r="F47" s="53" t="inlineStr">
        <is>
          <t>Descartado</t>
        </is>
      </c>
      <c r="G47" s="53" t="inlineStr">
        <is>
          <t>Baja</t>
        </is>
      </c>
      <c r="H47" s="53" t="inlineStr">
        <is>
          <t>Solo pasa en desarrollo; en producción sale uno.</t>
        </is>
      </c>
      <c r="I47" s="53" t="n"/>
      <c r="J47" s="53" t="n"/>
      <c r="K47" s="55" t="n">
        <v>46292</v>
      </c>
      <c r="L47" s="56">
        <f>IF(K47="","",TODAY()-K47)</f>
        <v/>
      </c>
    </row>
    <row r="48" ht="23.25" customHeight="1" s="35">
      <c r="A48" s="53" t="inlineStr">
        <is>
          <t>P14-04</t>
        </is>
      </c>
      <c r="B48" s="54" t="inlineStr">
        <is>
          <t>14</t>
        </is>
      </c>
      <c r="C48" s="53" t="inlineStr">
        <is>
          <t>Git</t>
        </is>
      </c>
      <c r="D48" s="53" t="inlineStr">
        <is>
          <t>Subir a main las ramas del rediseño (fases 2 a 4)</t>
        </is>
      </c>
      <c r="E48" s="53" t="inlineStr">
        <is>
          <t>Pendiente del plan</t>
        </is>
      </c>
      <c r="F48" s="53" t="inlineStr">
        <is>
          <t>Terminado</t>
        </is>
      </c>
      <c r="G48" s="53" t="inlineStr">
        <is>
          <t>Media</t>
        </is>
      </c>
      <c r="H48" s="53" t="inlineStr">
        <is>
          <t>Merges en el historial de Git (feature/rediseno-visual, feature/rediseno-fase4, etc.).</t>
        </is>
      </c>
      <c r="I48" s="53" t="n"/>
      <c r="J48" s="53" t="n"/>
      <c r="K48" s="55" t="n">
        <v>46292</v>
      </c>
      <c r="L48" s="56">
        <f>IF(K48="","",TODAY()-K48)</f>
        <v/>
      </c>
    </row>
    <row r="49" ht="23.25" customHeight="1" s="35">
      <c r="A49" s="53" t="inlineStr">
        <is>
          <t>P15-01</t>
        </is>
      </c>
      <c r="B49" s="54" t="inlineStr">
        <is>
          <t>15</t>
        </is>
      </c>
      <c r="C49" s="53" t="inlineStr">
        <is>
          <t>Base de datos</t>
        </is>
      </c>
      <c r="D49" s="53" t="inlineStr">
        <is>
          <t>El esquema vive en dos lugares (init_pg.sql y la auto-migración de config/database.js), lo que produce brechas como la de Fiados</t>
        </is>
      </c>
      <c r="E49" s="53" t="inlineStr">
        <is>
          <t>Observación / defecto</t>
        </is>
      </c>
      <c r="F49" s="53" t="inlineStr">
        <is>
          <t>No iniciado</t>
        </is>
      </c>
      <c r="G49" s="53" t="inlineStr">
        <is>
          <t>Media</t>
        </is>
      </c>
      <c r="H49" s="53" t="inlineStr">
        <is>
          <t>Plan 15, sección 6.</t>
        </is>
      </c>
      <c r="I49" s="53" t="inlineStr">
        <is>
          <t>Incluido en el plan 21, R4.</t>
        </is>
      </c>
      <c r="J49" s="53" t="n"/>
      <c r="K49" s="55" t="n">
        <v>46292</v>
      </c>
      <c r="L49" s="56">
        <f>IF(K49="","",TODAY()-K49)</f>
        <v/>
      </c>
    </row>
    <row r="50" ht="23.25" customHeight="1" s="35">
      <c r="A50" s="53" t="inlineStr">
        <is>
          <t>P15-02</t>
        </is>
      </c>
      <c r="B50" s="54" t="inlineStr">
        <is>
          <t>15</t>
        </is>
      </c>
      <c r="C50" s="53" t="inlineStr">
        <is>
          <t>Base de datos</t>
        </is>
      </c>
      <c r="D50" s="53" t="inlineStr">
        <is>
          <t>init_pg.sql no podía crear una base nueva (dependencia circular Tienda ↔ Usuarios)</t>
        </is>
      </c>
      <c r="E50" s="53" t="inlineStr">
        <is>
          <t>Observación / defecto</t>
        </is>
      </c>
      <c r="F50" s="53" t="inlineStr">
        <is>
          <t>Terminado</t>
        </is>
      </c>
      <c r="G50" s="53" t="inlineStr">
        <is>
          <t>Media</t>
        </is>
      </c>
      <c r="H50" s="53" t="inlineStr">
        <is>
          <t>Corregido en el plan 20, sección 8.1.</t>
        </is>
      </c>
      <c r="I50" s="53" t="n"/>
      <c r="J50" s="53" t="n"/>
      <c r="K50" s="55" t="n">
        <v>46292</v>
      </c>
      <c r="L50" s="56">
        <f>IF(K50="","",TODAY()-K50)</f>
        <v/>
      </c>
    </row>
    <row r="51" ht="23.25" customHeight="1" s="35">
      <c r="A51" s="53" t="inlineStr">
        <is>
          <t>P16-01</t>
        </is>
      </c>
      <c r="B51" s="54" t="inlineStr">
        <is>
          <t>16</t>
        </is>
      </c>
      <c r="C51" s="53" t="inlineStr">
        <is>
          <t>IA</t>
        </is>
      </c>
      <c r="D51" s="53" t="inlineStr">
        <is>
          <t>"Aprendizaje de la IA" como lo proponía el documento original</t>
        </is>
      </c>
      <c r="E51" s="53" t="inlineStr">
        <is>
          <t>Pendiente del plan</t>
        </is>
      </c>
      <c r="F51" s="53" t="inlineStr">
        <is>
          <t>Descartado</t>
        </is>
      </c>
      <c r="G51" s="53" t="inlineStr">
        <is>
          <t>Baja</t>
        </is>
      </c>
      <c r="H51" s="53" t="inlineStr">
        <is>
          <t>Ya existe por otra vía: feedbackController + runDailyAIEvaluation (plan 16, sección 1).</t>
        </is>
      </c>
      <c r="I51" s="53" t="n"/>
      <c r="J51" s="53" t="n"/>
      <c r="K51" s="55" t="n">
        <v>46292</v>
      </c>
      <c r="L51" s="56">
        <f>IF(K51="","",TODAY()-K51)</f>
        <v/>
      </c>
    </row>
    <row r="52" ht="23.25" customHeight="1" s="35">
      <c r="A52" s="53" t="inlineStr">
        <is>
          <t>P16-02</t>
        </is>
      </c>
      <c r="B52" s="54" t="inlineStr">
        <is>
          <t>16</t>
        </is>
      </c>
      <c r="C52" s="53" t="inlineStr">
        <is>
          <t>Pruebas</t>
        </is>
      </c>
      <c r="D52" s="53" t="inlineStr">
        <is>
          <t>Pruebas de la recepción de mercancía: cantidad recibida igual, menor y mayor a la pedida</t>
        </is>
      </c>
      <c r="E52" s="53" t="inlineStr">
        <is>
          <t>Pendiente del plan</t>
        </is>
      </c>
      <c r="F52" s="53" t="inlineStr">
        <is>
          <t>Terminado</t>
        </is>
      </c>
      <c r="G52" s="53" t="inlineStr">
        <is>
          <t>Media</t>
        </is>
      </c>
      <c r="H52" s="53" t="inlineStr">
        <is>
          <t>tests/integration/recepcion_mercancia.test.js (17 pruebas: igual, menor y mayor a lo pedido, «Parcial», reintento con el mismo total, recepciones simultáneas, cerrar con faltante, permisos). Llegó con P21-10 (feat/recepcion-con-confirmacion, 4-oct).</t>
        </is>
      </c>
      <c r="I52" s="53" t="inlineStr">
        <is>
          <t>Incluido en el plan 21, R0.</t>
        </is>
      </c>
      <c r="J52" s="53" t="inlineStr">
        <is>
          <t>Agente (Claude Code)</t>
        </is>
      </c>
      <c r="K52" s="55" t="n">
        <v>46304</v>
      </c>
      <c r="L52" s="56">
        <f>IF(K52="","",TODAY()-K52)</f>
        <v/>
      </c>
    </row>
    <row r="53" ht="15" customHeight="1" s="35">
      <c r="A53" s="53" t="inlineStr">
        <is>
          <t>P17-01</t>
        </is>
      </c>
      <c r="B53" s="54" t="inlineStr">
        <is>
          <t>17</t>
        </is>
      </c>
      <c r="C53" s="53" t="inlineStr">
        <is>
          <t>Motor</t>
        </is>
      </c>
      <c r="D53" s="53" t="inlineStr">
        <is>
          <t>Consolidar las consultas de velocidad restantes</t>
        </is>
      </c>
      <c r="E53" s="53" t="inlineStr">
        <is>
          <t>Pendiente del plan</t>
        </is>
      </c>
      <c r="F53" s="53" t="inlineStr">
        <is>
          <t>Descartado</t>
        </is>
      </c>
      <c r="G53" s="53" t="inlineStr">
        <is>
          <t>Baja</t>
        </is>
      </c>
      <c r="H53" s="53" t="inlineStr">
        <is>
          <t>Plan 17, sección 8.7, fase 6: descartado por bajo beneficio.</t>
        </is>
      </c>
      <c r="I53" s="53" t="n"/>
      <c r="J53" s="53" t="n"/>
      <c r="K53" s="55" t="n">
        <v>46292</v>
      </c>
      <c r="L53" s="56">
        <f>IF(K53="","",TODAY()-K53)</f>
        <v/>
      </c>
    </row>
    <row r="54" ht="23.25" customHeight="1" s="35">
      <c r="A54" s="53" t="inlineStr">
        <is>
          <t>P17-02</t>
        </is>
      </c>
      <c r="B54" s="54" t="inlineStr">
        <is>
          <t>17</t>
        </is>
      </c>
      <c r="C54" s="53" t="inlineStr">
        <is>
          <t>Productos</t>
        </is>
      </c>
      <c r="D54" s="53" t="inlineStr">
        <is>
          <t>El código de barras es obligatorio en ProductFormModal y bloquea en silencio la edición de productos sin código</t>
        </is>
      </c>
      <c r="E54" s="53" t="inlineStr">
        <is>
          <t>Observación / defecto</t>
        </is>
      </c>
      <c r="F54" s="53" t="inlineStr">
        <is>
          <t>No iniciado</t>
        </is>
      </c>
      <c r="G54" s="53" t="inlineStr">
        <is>
          <t>Alta</t>
        </is>
      </c>
      <c r="H54" s="53" t="inlineStr">
        <is>
          <t>ProductFormModal.jsx, línea 344 (required). Plan 17, sección 8.8.</t>
        </is>
      </c>
      <c r="I54" s="53" t="inlineStr">
        <is>
          <t>Si hay productos reales sin código, no se pueden editar desde la interfaz.</t>
        </is>
      </c>
      <c r="J54" s="53" t="n"/>
      <c r="K54" s="55" t="n">
        <v>46292</v>
      </c>
      <c r="L54" s="56">
        <f>IF(K54="","",TODAY()-K54)</f>
        <v/>
      </c>
    </row>
    <row r="55" ht="15" customHeight="1" s="35">
      <c r="A55" s="53" t="inlineStr">
        <is>
          <t>P17-03</t>
        </is>
      </c>
      <c r="B55" s="54" t="inlineStr">
        <is>
          <t>17</t>
        </is>
      </c>
      <c r="C55" s="53" t="inlineStr">
        <is>
          <t>Git</t>
        </is>
      </c>
      <c r="D55" s="53" t="inlineStr">
        <is>
          <t>Probar manualmente y subir a main la unificación del motor de riesgo</t>
        </is>
      </c>
      <c r="E55" s="53" t="inlineStr">
        <is>
          <t>Pendiente del plan</t>
        </is>
      </c>
      <c r="F55" s="53" t="inlineStr">
        <is>
          <t>Terminado</t>
        </is>
      </c>
      <c r="G55" s="53" t="inlineStr">
        <is>
          <t>Alta</t>
        </is>
      </c>
      <c r="H55" s="53" t="inlineStr">
        <is>
          <t>Merge de feature/unificacion-motor-riesgo en el historial de Git.</t>
        </is>
      </c>
      <c r="I55" s="53" t="n"/>
      <c r="J55" s="53" t="n"/>
      <c r="K55" s="55" t="n">
        <v>46292</v>
      </c>
      <c r="L55" s="56">
        <f>IF(K55="","",TODAY()-K55)</f>
        <v/>
      </c>
    </row>
    <row r="56" ht="34.5" customHeight="1" s="35">
      <c r="A56" s="53" t="inlineStr">
        <is>
          <t>P18-01</t>
        </is>
      </c>
      <c r="B56" s="54" t="inlineStr">
        <is>
          <t>18</t>
        </is>
      </c>
      <c r="C56" s="53" t="inlineStr">
        <is>
          <t>Simulador</t>
        </is>
      </c>
      <c r="D56" s="53" t="inlineStr">
        <is>
          <t>Simulador de escenarios con el motor único de reposición (fases 1 a 4)</t>
        </is>
      </c>
      <c r="E56" s="53" t="inlineStr">
        <is>
          <t>Pendiente del plan</t>
        </is>
      </c>
      <c r="F56" s="53" t="inlineStr">
        <is>
          <t>Terminado</t>
        </is>
      </c>
      <c r="G56" s="53" t="inlineStr">
        <is>
          <t>Media</t>
        </is>
      </c>
      <c r="H56" s="53" t="inlineStr">
        <is>
          <t>calcularReposicion acepta diasCoberturaOverride, /api/ia/snapshot recibe ?dias=N, SimuladorPage.jsx usa cantidad_recomendada y la respuesta incluye categoria.</t>
        </is>
      </c>
      <c r="I56" s="53" t="n"/>
      <c r="J56" s="53" t="n"/>
      <c r="K56" s="55" t="n">
        <v>46292</v>
      </c>
      <c r="L56" s="56">
        <f>IF(K56="","",TODAY()-K56)</f>
        <v/>
      </c>
    </row>
    <row r="57" ht="23.25" customHeight="1" s="35">
      <c r="A57" s="53" t="inlineStr">
        <is>
          <t>P18-02</t>
        </is>
      </c>
      <c r="B57" s="54" t="inlineStr">
        <is>
          <t>18</t>
        </is>
      </c>
      <c r="C57" s="53" t="inlineStr">
        <is>
          <t>Documentación</t>
        </is>
      </c>
      <c r="D57" s="53" t="inlineStr">
        <is>
          <t>Actualizar el encabezado del plan 18: todavía dice "Propuesto, pendiente de confirmación"</t>
        </is>
      </c>
      <c r="E57" s="53" t="inlineStr">
        <is>
          <t>Mantenimiento de docs</t>
        </is>
      </c>
      <c r="F57" s="53" t="inlineStr">
        <is>
          <t>Terminado</t>
        </is>
      </c>
      <c r="G57" s="53" t="inlineStr">
        <is>
          <t>Baja</t>
        </is>
      </c>
      <c r="H57" s="53" t="inlineStr">
        <is>
          <t>Encabezado del plan 18 actualizado el 9-oct.</t>
        </is>
      </c>
      <c r="I57" s="53" t="n"/>
      <c r="J57" s="53" t="inlineStr">
        <is>
          <t>Agente (Claude Code)</t>
        </is>
      </c>
      <c r="K57" s="55" t="n">
        <v>46304</v>
      </c>
      <c r="L57" s="56">
        <f>IF(K57="","",TODAY()-K57)</f>
        <v/>
      </c>
    </row>
    <row r="58" ht="45.75" customHeight="1" s="35">
      <c r="A58" s="53" t="inlineStr">
        <is>
          <t>P19-01</t>
        </is>
      </c>
      <c r="B58" s="54" t="inlineStr">
        <is>
          <t>19</t>
        </is>
      </c>
      <c r="C58" s="53" t="inlineStr">
        <is>
          <t>Respaldos</t>
        </is>
      </c>
      <c r="D58" s="53" t="inlineStr">
        <is>
          <t>Respaldo diario con pg_dump (conserva 14)</t>
        </is>
      </c>
      <c r="E58" s="53" t="inlineStr">
        <is>
          <t>Pendiente del plan</t>
        </is>
      </c>
      <c r="F58" s="53" t="inlineStr">
        <is>
          <t>Descartado</t>
        </is>
      </c>
      <c r="G58" s="53" t="inlineStr">
        <is>
          <t>Alta</t>
        </is>
      </c>
      <c r="H58" s="53" t="inlineStr">
        <is>
          <t>utils/backup.js y cron de las 2:00 en schedulerService.js.</t>
        </is>
      </c>
      <c r="I58" s="53" t="inlineStr">
        <is>
          <t>Reemplazado en producción por P19-02 (workflow de GitHub Actions). El cron de utils/backup.js solo se programa en local (debeProgramarRespaldoLocal en schedulerService.js).</t>
        </is>
      </c>
      <c r="J58" s="53" t="inlineStr">
        <is>
          <t>Agente (Claude Code)</t>
        </is>
      </c>
      <c r="K58" s="55" t="n">
        <v>46304</v>
      </c>
      <c r="L58" s="56">
        <f>IF(K58="","",TODAY()-K58)</f>
        <v/>
      </c>
    </row>
    <row r="59" ht="23.25" customHeight="1" s="35">
      <c r="A59" s="53" t="inlineStr">
        <is>
          <t>P19-02</t>
        </is>
      </c>
      <c r="B59" s="54" t="inlineStr">
        <is>
          <t>19</t>
        </is>
      </c>
      <c r="C59" s="53" t="inlineStr">
        <is>
          <t>Respaldos</t>
        </is>
      </c>
      <c r="D59" s="53" t="inlineStr">
        <is>
          <t>Copia de los respaldos en almacenamiento externo, verificar que pg_dump exista en Render y probar una restauración</t>
        </is>
      </c>
      <c r="E59" s="53" t="inlineStr">
        <is>
          <t>Pendiente del plan</t>
        </is>
      </c>
      <c r="F59" s="53" t="inlineStr">
        <is>
          <t>Terminado</t>
        </is>
      </c>
      <c r="G59" s="53" t="inlineStr">
        <is>
          <t>Alta</t>
        </is>
      </c>
      <c r="H59" s="53" t="inlineStr">
        <is>
          <t>.github/workflows/respaldo-neon.yml (diario, cifrado con gpg, 14 días de retención, postgres:18) y docs/restaurar_respaldo.md.</t>
        </is>
      </c>
      <c r="I59" s="53" t="inlineStr">
        <is>
          <t>Restauración verificada el 3-oct, según Luis.</t>
        </is>
      </c>
      <c r="J59" s="53" t="n"/>
      <c r="K59" s="55" t="n">
        <v>46292</v>
      </c>
      <c r="L59" s="56">
        <f>IF(K59="","",TODAY()-K59)</f>
        <v/>
      </c>
    </row>
    <row r="60" ht="34.5" customHeight="1" s="35">
      <c r="A60" s="53" t="inlineStr">
        <is>
          <t>P19-03</t>
        </is>
      </c>
      <c r="B60" s="54" t="inlineStr">
        <is>
          <t>19</t>
        </is>
      </c>
      <c r="C60" s="53" t="inlineStr">
        <is>
          <t>Legal</t>
        </is>
      </c>
      <c r="D60" s="53" t="inlineStr">
        <is>
          <t>Política de tratamiento de datos con aceptación obligatoria en el registro</t>
        </is>
      </c>
      <c r="E60" s="53" t="inlineStr">
        <is>
          <t>Pendiente del plan</t>
        </is>
      </c>
      <c r="F60" s="53" t="inlineStr">
        <is>
          <t>Por verificar</t>
        </is>
      </c>
      <c r="G60" s="53" t="inlineStr">
        <is>
          <t>Alta</t>
        </is>
      </c>
      <c r="H60" s="53" t="inlineStr">
        <is>
          <t>Implementada en código (PoliticaDatosPage.jsx, /politica-datos, fecha_aceptacion_politica_datos). Falta confirmar que esté desplegada en Render.</t>
        </is>
      </c>
      <c r="I60" s="53" t="n"/>
      <c r="J60" s="53" t="n"/>
      <c r="K60" s="55" t="n">
        <v>46292</v>
      </c>
      <c r="L60" s="56">
        <f>IF(K60="","",TODAY()-K60)</f>
        <v/>
      </c>
    </row>
    <row r="61" ht="23.25" customHeight="1" s="35">
      <c r="A61" s="53" t="inlineStr">
        <is>
          <t>P19-04</t>
        </is>
      </c>
      <c r="B61" s="54" t="inlineStr">
        <is>
          <t>19</t>
        </is>
      </c>
      <c r="C61" s="53" t="inlineStr">
        <is>
          <t>Legal</t>
        </is>
      </c>
      <c r="D61" s="53" t="inlineStr">
        <is>
          <t>Re-consentimiento si cambia la política y formulario de autoservicio para ejercer los derechos del titular</t>
        </is>
      </c>
      <c r="E61" s="53" t="inlineStr">
        <is>
          <t>Pendiente del plan</t>
        </is>
      </c>
      <c r="F61" s="53" t="inlineStr">
        <is>
          <t>No iniciado</t>
        </is>
      </c>
      <c r="G61" s="53" t="inlineStr">
        <is>
          <t>Baja</t>
        </is>
      </c>
      <c r="H61" s="53" t="inlineStr">
        <is>
          <t>Plan 19, sección 3.2 ("fuera de esta ronda").</t>
        </is>
      </c>
      <c r="I61" s="53" t="n"/>
      <c r="J61" s="53" t="n"/>
      <c r="K61" s="55" t="n">
        <v>46292</v>
      </c>
      <c r="L61" s="56">
        <f>IF(K61="","",TODAY()-K61)</f>
        <v/>
      </c>
    </row>
    <row r="62" ht="23.25" customHeight="1" s="35">
      <c r="A62" s="53" t="inlineStr">
        <is>
          <t>P19-05</t>
        </is>
      </c>
      <c r="B62" s="54" t="inlineStr">
        <is>
          <t>19</t>
        </is>
      </c>
      <c r="C62" s="53" t="inlineStr">
        <is>
          <t>Métricas</t>
        </is>
      </c>
      <c r="D62" s="53" t="inlineStr">
        <is>
          <t>Métrica de activación de la prueba gratuita (≥ 20 productos y ventas durante 7 días) con endpoint interno</t>
        </is>
      </c>
      <c r="E62" s="53" t="inlineStr">
        <is>
          <t>Pendiente del plan</t>
        </is>
      </c>
      <c r="F62" s="53" t="inlineStr">
        <is>
          <t>No iniciado</t>
        </is>
      </c>
      <c r="G62" s="53" t="inlineStr">
        <is>
          <t>Media</t>
        </is>
      </c>
      <c r="H62" s="53" t="inlineStr">
        <is>
          <t>Plan 19, sección 3.3. Diseño SQL listo.</t>
        </is>
      </c>
      <c r="I62" s="53" t="inlineStr">
        <is>
          <t>Construir cuando se prepare la convocatoria pública.</t>
        </is>
      </c>
      <c r="J62" s="53" t="n"/>
      <c r="K62" s="55" t="n">
        <v>46292</v>
      </c>
      <c r="L62" s="56">
        <f>IF(K62="","",TODAY()-K62)</f>
        <v/>
      </c>
    </row>
    <row r="63" ht="34.5" customHeight="1" s="35">
      <c r="A63" s="53" t="inlineStr">
        <is>
          <t>P19-06</t>
        </is>
      </c>
      <c r="B63" s="54" t="inlineStr">
        <is>
          <t>19</t>
        </is>
      </c>
      <c r="C63" s="53" t="inlineStr">
        <is>
          <t>Modo básico</t>
        </is>
      </c>
      <c r="D63" s="53" t="inlineStr">
        <is>
          <t>Modo básico, fases A a C: preferencia de modo, menú reducido y pantalla "¿Qué pido?" con recepción</t>
        </is>
      </c>
      <c r="E63" s="53" t="inlineStr">
        <is>
          <t>Pendiente del plan</t>
        </is>
      </c>
      <c r="F63" s="53" t="inlineStr">
        <is>
          <t>Por verificar</t>
        </is>
      </c>
      <c r="G63" s="53" t="inlineStr">
        <is>
          <t>Alta</t>
        </is>
      </c>
      <c r="H63" s="53" t="inlineStr">
        <is>
          <t>Fases A, B y C mezcladas en main el 6-oct a las 10:55 (merge 02f7ecc) y subidas a origin a las 11:00. Migración en config/migraciones/modoInterfaz.js: las cuentas existentes quedan en «avanzado». Pruebas: modo_interfaz.test.js y pedir_flujo.test.js.</t>
        </is>
      </c>
      <c r="I63" s="53" t="inlineStr">
        <is>
          <t>Si Render despliega desde main, está en producción desde el 6-oct. Falta: probar en celular y con un Administrador con 2FA. Las fases D y E siguen en P19-07.</t>
        </is>
      </c>
      <c r="J63" s="53" t="inlineStr">
        <is>
          <t>Agente (Claude Code)</t>
        </is>
      </c>
      <c r="K63" s="55" t="n">
        <v>46304</v>
      </c>
      <c r="L63" s="56">
        <f>IF(K63="","",TODAY()-K63)</f>
        <v/>
      </c>
    </row>
    <row r="64" ht="34.5" customHeight="1" s="35">
      <c r="A64" s="53" t="inlineStr">
        <is>
          <t>P19-07</t>
        </is>
      </c>
      <c r="B64" s="54" t="inlineStr">
        <is>
          <t>19</t>
        </is>
      </c>
      <c r="C64" s="53" t="inlineStr">
        <is>
          <t>Modo básico</t>
        </is>
      </c>
      <c r="D64" s="53" t="inlineStr">
        <is>
          <t>Modo básico, fases D y E: permisos del colaborador sobre órdenes y catálogo simplificado</t>
        </is>
      </c>
      <c r="E64" s="53" t="inlineStr">
        <is>
          <t>Pendiente del plan</t>
        </is>
      </c>
      <c r="F64" s="53" t="inlineStr">
        <is>
          <t>No iniciado</t>
        </is>
      </c>
      <c r="G64" s="53" t="inlineStr">
        <is>
          <t>Baja</t>
        </is>
      </c>
      <c r="H64" s="53" t="inlineStr">
        <is>
          <t>Plan 19, sección 3.4.</t>
        </is>
      </c>
      <c r="I64" s="53" t="inlineStr">
        <is>
          <t>Después de la visita; solo si el piloto muestra que hacen falta. La fase C no las necesita (/pedir va solo para el Administrador).</t>
        </is>
      </c>
      <c r="J64" s="53" t="n"/>
      <c r="K64" s="55" t="n">
        <v>46301</v>
      </c>
      <c r="L64" s="56">
        <f>IF(K64="","",TODAY()-K64)</f>
        <v/>
      </c>
    </row>
    <row r="65" ht="23.25" customHeight="1" s="35">
      <c r="A65" s="53" t="inlineStr">
        <is>
          <t>P19-08</t>
        </is>
      </c>
      <c r="B65" s="54" t="inlineStr">
        <is>
          <t>19</t>
        </is>
      </c>
      <c r="C65" s="53" t="inlineStr">
        <is>
          <t>Convocatoria</t>
        </is>
      </c>
      <c r="D65" s="53" t="inlineStr">
        <is>
          <t>Pregunta de experiencia digital en el registro, invitación a compartir y encuesta corta de satisfacción</t>
        </is>
      </c>
      <c r="E65" s="53" t="inlineStr">
        <is>
          <t>Pendiente del plan</t>
        </is>
      </c>
      <c r="F65" s="53" t="inlineStr">
        <is>
          <t>No iniciado</t>
        </is>
      </c>
      <c r="G65" s="53" t="inlineStr">
        <is>
          <t>Media</t>
        </is>
      </c>
      <c r="H65" s="53" t="inlineStr">
        <is>
          <t>Plan 19, sección 3.5.</t>
        </is>
      </c>
      <c r="I65" s="53" t="inlineStr">
        <is>
          <t>Depende de la convocatoria pública.</t>
        </is>
      </c>
      <c r="J65" s="53" t="n"/>
      <c r="K65" s="55" t="n">
        <v>46292</v>
      </c>
      <c r="L65" s="56">
        <f>IF(K65="","",TODAY()-K65)</f>
        <v/>
      </c>
    </row>
    <row r="66" ht="23.25" customHeight="1" s="35">
      <c r="A66" s="53" t="inlineStr">
        <is>
          <t>P19-09</t>
        </is>
      </c>
      <c r="B66" s="54" t="inlineStr">
        <is>
          <t>19</t>
        </is>
      </c>
      <c r="C66" s="53" t="inlineStr">
        <is>
          <t>POS</t>
        </is>
      </c>
      <c r="D66" s="53" t="inlineStr">
        <is>
          <t>Botón "Descargar recibo (PDF)" y vista de factura individual desde el historial</t>
        </is>
      </c>
      <c r="E66" s="53" t="inlineStr">
        <is>
          <t>Pendiente del plan</t>
        </is>
      </c>
      <c r="F66" s="53" t="inlineStr">
        <is>
          <t>No iniciado</t>
        </is>
      </c>
      <c r="G66" s="53" t="inlineStr">
        <is>
          <t>Media</t>
        </is>
      </c>
      <c r="H66" s="53" t="inlineStr">
        <is>
          <t>Plan 19, sección 3.6. Reutiliza pdfkit.</t>
        </is>
      </c>
      <c r="I66" s="53" t="n"/>
      <c r="J66" s="53" t="n"/>
      <c r="K66" s="55" t="n">
        <v>46292</v>
      </c>
      <c r="L66" s="56">
        <f>IF(K66="","",TODAY()-K66)</f>
        <v/>
      </c>
    </row>
    <row r="67" ht="34.5" customHeight="1" s="35">
      <c r="A67" s="53" t="inlineStr">
        <is>
          <t>P19-10</t>
        </is>
      </c>
      <c r="B67" s="54" t="inlineStr">
        <is>
          <t>19</t>
        </is>
      </c>
      <c r="C67" s="53" t="inlineStr">
        <is>
          <t>Métricas</t>
        </is>
      </c>
      <c r="D67" s="53" t="inlineStr">
        <is>
          <t>El SQL de la métrica de activación usa Tienda.fecha_creacion, una columna que no existe</t>
        </is>
      </c>
      <c r="E67" s="53" t="inlineStr">
        <is>
          <t>Observación / defecto</t>
        </is>
      </c>
      <c r="F67" s="53" t="inlineStr">
        <is>
          <t>No iniciado</t>
        </is>
      </c>
      <c r="G67" s="53" t="inlineStr">
        <is>
          <t>Media</t>
        </is>
      </c>
      <c r="H67" s="53" t="inlineStr">
        <is>
          <t>Plan 19, sección 3.3, frente a database/init_pg.sql (Tienda no tiene ninguna fecha).</t>
        </is>
      </c>
      <c r="I67" s="53" t="inlineStr">
        <is>
          <t>Se corrige en el plan 22, fase I1 (columna nueva y relleno con la fecha de registro más antigua de sus usuarios).</t>
        </is>
      </c>
      <c r="J67" s="53" t="n"/>
      <c r="K67" s="55" t="n">
        <v>46293</v>
      </c>
      <c r="L67" s="56">
        <f>IF(K67="","",TODAY()-K67)</f>
        <v/>
      </c>
    </row>
    <row r="68" ht="23.25" customHeight="1" s="35">
      <c r="A68" s="53" t="inlineStr">
        <is>
          <t>P20-01</t>
        </is>
      </c>
      <c r="B68" s="54" t="inlineStr">
        <is>
          <t>20</t>
        </is>
      </c>
      <c r="C68" s="53" t="inlineStr">
        <is>
          <t>Base de datos</t>
        </is>
      </c>
      <c r="D68" s="53" t="inlineStr">
        <is>
          <t>La auto-migración de config/database.js corre en cada require contra cualquier DATABASE_URL, sin protección</t>
        </is>
      </c>
      <c r="E68" s="53" t="inlineStr">
        <is>
          <t>Observación / defecto</t>
        </is>
      </c>
      <c r="F68" s="53" t="inlineStr">
        <is>
          <t>No iniciado</t>
        </is>
      </c>
      <c r="G68" s="53" t="inlineStr">
        <is>
          <t>Alta</t>
        </is>
      </c>
      <c r="H68" s="53" t="inlineStr">
        <is>
          <t>Plan 20, sección 8.3.</t>
        </is>
      </c>
      <c r="I68" s="53" t="inlineStr">
        <is>
          <t>Incluido en el plan 21, R4.</t>
        </is>
      </c>
      <c r="J68" s="53" t="n"/>
      <c r="K68" s="55" t="n">
        <v>46292</v>
      </c>
      <c r="L68" s="56">
        <f>IF(K68="","",TODAY()-K68)</f>
        <v/>
      </c>
    </row>
    <row r="69" ht="23.25" customHeight="1" s="35">
      <c r="A69" s="53" t="inlineStr">
        <is>
          <t>P20-02</t>
        </is>
      </c>
      <c r="B69" s="54" t="inlineStr">
        <is>
          <t>20</t>
        </is>
      </c>
      <c r="C69" s="53" t="inlineStr">
        <is>
          <t>Caja</t>
        </is>
      </c>
      <c r="D69" s="53" t="inlineStr">
        <is>
          <t>La apertura de caja hace SELECT y después INSERT sin transacción (carrera posible, no reproducida)</t>
        </is>
      </c>
      <c r="E69" s="53" t="inlineStr">
        <is>
          <t>Observación / defecto</t>
        </is>
      </c>
      <c r="F69" s="53" t="inlineStr">
        <is>
          <t>No iniciado</t>
        </is>
      </c>
      <c r="G69" s="53" t="inlineStr">
        <is>
          <t>Media</t>
        </is>
      </c>
      <c r="H69" s="53" t="inlineStr">
        <is>
          <t>Plan 20, sección 8.8.</t>
        </is>
      </c>
      <c r="I69" s="53" t="inlineStr">
        <is>
          <t>Incluido en el plan 21, R2 (services/caja.js).</t>
        </is>
      </c>
      <c r="J69" s="53" t="n"/>
      <c r="K69" s="55" t="n">
        <v>46292</v>
      </c>
      <c r="L69" s="56">
        <f>IF(K69="","",TODAY()-K69)</f>
        <v/>
      </c>
    </row>
    <row r="70" ht="34.5" customHeight="1" s="35">
      <c r="A70" s="53" t="inlineStr">
        <is>
          <t>P20-03</t>
        </is>
      </c>
      <c r="B70" s="54" t="inlineStr">
        <is>
          <t>20</t>
        </is>
      </c>
      <c r="C70" s="53" t="inlineStr">
        <is>
          <t>Pruebas</t>
        </is>
      </c>
      <c r="D70" s="53" t="inlineStr">
        <is>
          <t>Pruebas para los bloques que siguen excluidos de la cobertura: evaluación de órdenes de la IA, dryRun/resolve/getStats de alertas y validateRegister/validateReport</t>
        </is>
      </c>
      <c r="E70" s="53" t="inlineStr">
        <is>
          <t>Pendiente del plan</t>
        </is>
      </c>
      <c r="F70" s="53" t="inlineStr">
        <is>
          <t>No iniciado</t>
        </is>
      </c>
      <c r="G70" s="53" t="inlineStr">
        <is>
          <t>Media</t>
        </is>
      </c>
      <c r="H70" s="53" t="inlineStr">
        <is>
          <t>Bloques /* v8 ignore */ en feedbackController.js, models/Alert.js y middleware/validation.js, cada uno con su justificación.</t>
        </is>
      </c>
      <c r="I70" s="53" t="n"/>
      <c r="J70" s="53" t="n"/>
      <c r="K70" s="55" t="n">
        <v>46292</v>
      </c>
      <c r="L70" s="56">
        <f>IF(K70="","",TODAY()-K70)</f>
        <v/>
      </c>
    </row>
    <row r="71" ht="15" customHeight="1" s="35">
      <c r="A71" s="53" t="inlineStr">
        <is>
          <t>P20-04</t>
        </is>
      </c>
      <c r="B71" s="54" t="inlineStr">
        <is>
          <t>20</t>
        </is>
      </c>
      <c r="C71" s="53" t="inlineStr">
        <is>
          <t>Pruebas</t>
        </is>
      </c>
      <c r="D71" s="53" t="inlineStr">
        <is>
          <t>Subir los thresholds de cobertura a medida que se agreguen pruebas</t>
        </is>
      </c>
      <c r="E71" s="53" t="inlineStr">
        <is>
          <t>Pendiente del plan</t>
        </is>
      </c>
      <c r="F71" s="53" t="inlineStr">
        <is>
          <t>No iniciado</t>
        </is>
      </c>
      <c r="G71" s="53" t="inlineStr">
        <is>
          <t>Baja</t>
        </is>
      </c>
      <c r="H71" s="53" t="inlineStr">
        <is>
          <t>vitest.config.js (hoy 10/15/19/9).</t>
        </is>
      </c>
      <c r="I71" s="53" t="inlineStr">
        <is>
          <t>Tarea continua.</t>
        </is>
      </c>
      <c r="J71" s="53" t="n"/>
      <c r="K71" s="55" t="n">
        <v>46292</v>
      </c>
      <c r="L71" s="56">
        <f>IF(K71="","",TODAY()-K71)</f>
        <v/>
      </c>
    </row>
    <row r="72" ht="23.25" customHeight="1" s="35">
      <c r="A72" s="53" t="inlineStr">
        <is>
          <t>P20-05</t>
        </is>
      </c>
      <c r="B72" s="54" t="inlineStr">
        <is>
          <t>20</t>
        </is>
      </c>
      <c r="C72" s="53" t="inlineStr">
        <is>
          <t>Pruebas</t>
        </is>
      </c>
      <c r="D72" s="53" t="inlineStr">
        <is>
          <t>Prueba del límite de fuerza bruta del login (10 intentos fallidos en 15 minutos)</t>
        </is>
      </c>
      <c r="E72" s="53" t="inlineStr">
        <is>
          <t>Observación / defecto</t>
        </is>
      </c>
      <c r="F72" s="53" t="inlineStr">
        <is>
          <t>No iniciado</t>
        </is>
      </c>
      <c r="G72" s="53" t="inlineStr">
        <is>
          <t>Baja</t>
        </is>
      </c>
      <c r="H72" s="53" t="inlineStr">
        <is>
          <t>Plan 20, sección 8.6.</t>
        </is>
      </c>
      <c r="I72" s="53" t="n"/>
      <c r="J72" s="53" t="n"/>
      <c r="K72" s="55" t="n">
        <v>46292</v>
      </c>
      <c r="L72" s="56">
        <f>IF(K72="","",TODAY()-K72)</f>
        <v/>
      </c>
    </row>
    <row r="73" ht="23.25" customHeight="1" s="35">
      <c r="A73" s="53" t="inlineStr">
        <is>
          <t>P20-06</t>
        </is>
      </c>
      <c r="B73" s="54" t="inlineStr">
        <is>
          <t>20</t>
        </is>
      </c>
      <c r="C73" s="53" t="inlineStr">
        <is>
          <t>Documentación</t>
        </is>
      </c>
      <c r="D73" s="53" t="inlineStr">
        <is>
          <t>Actualizar la sección 6 del plan 20: todavía dice que la rama no se ha subido ni mezclado a main</t>
        </is>
      </c>
      <c r="E73" s="53" t="inlineStr">
        <is>
          <t>Mantenimiento de docs</t>
        </is>
      </c>
      <c r="F73" s="53" t="inlineStr">
        <is>
          <t>Terminado</t>
        </is>
      </c>
      <c r="G73" s="53" t="inlineStr">
        <is>
          <t>Baja</t>
        </is>
      </c>
      <c r="H73" s="53" t="inlineStr">
        <is>
          <t>Secciones 6 y 7 del plan 20 actualizadas el 9-oct (la rama se mezcló a main el 27-sep, fast-forward).</t>
        </is>
      </c>
      <c r="I73" s="53" t="n"/>
      <c r="J73" s="53" t="inlineStr">
        <is>
          <t>Agente (Claude Code)</t>
        </is>
      </c>
      <c r="K73" s="55" t="n">
        <v>46304</v>
      </c>
      <c r="L73" s="56">
        <f>IF(K73="","",TODAY()-K73)</f>
        <v/>
      </c>
    </row>
    <row r="74" ht="34.5" customHeight="1" s="35">
      <c r="A74" s="53" t="inlineStr">
        <is>
          <t>P21-01</t>
        </is>
      </c>
      <c r="B74" s="54" t="inlineStr">
        <is>
          <t>21</t>
        </is>
      </c>
      <c r="C74" s="53" t="inlineStr">
        <is>
          <t>Refactorización</t>
        </is>
      </c>
      <c r="D74" s="53" t="inlineStr">
        <is>
          <t>R0: pruebas de caracterización de IA, proveedores, autenticación y productos</t>
        </is>
      </c>
      <c r="E74" s="53" t="inlineStr">
        <is>
          <t>Pendiente del plan</t>
        </is>
      </c>
      <c r="F74" s="53" t="inlineStr">
        <is>
          <t>Terminado</t>
        </is>
      </c>
      <c r="G74" s="53" t="inlineStr">
        <is>
          <t>Alta</t>
        </is>
      </c>
      <c r="H74" s="53" t="inlineStr">
        <is>
          <t>Mezclada en main y subida el 28-sep (merge 2e523dc): 48 pruebas de caracterización y 2 de guardia. Cobertura combinada ≈35 % → ≈56 % (npm run test:coverage:combinada).</t>
        </is>
      </c>
      <c r="I74" s="53" t="n"/>
      <c r="J74" s="53" t="n"/>
      <c r="K74" s="55" t="n">
        <v>46292</v>
      </c>
      <c r="L74" s="56">
        <f>IF(K74="","",TODAY()-K74)</f>
        <v/>
      </c>
    </row>
    <row r="75" ht="23.25" customHeight="1" s="35">
      <c r="A75" s="53" t="inlineStr">
        <is>
          <t>P21-02</t>
        </is>
      </c>
      <c r="B75" s="54" t="inlineStr">
        <is>
          <t>21</t>
        </is>
      </c>
      <c r="C75" s="53" t="inlineStr">
        <is>
          <t>Refactorización</t>
        </is>
      </c>
      <c r="D75" s="53" t="inlineStr">
        <is>
          <t>R1: services/ia/ y cliente único de OpenAI (base del ia-service del Sprint 6.3)</t>
        </is>
      </c>
      <c r="E75" s="53" t="inlineStr">
        <is>
          <t>Pendiente del plan</t>
        </is>
      </c>
      <c r="F75" s="53" t="inlineStr">
        <is>
          <t>Terminado</t>
        </is>
      </c>
      <c r="G75" s="53" t="inlineStr">
        <is>
          <t>Alta</t>
        </is>
      </c>
      <c r="H75" s="53" t="inlineStr">
        <is>
          <t>Merge --no-ff a main (f93958e) y main subido a origin el 8-oct, junto con la rama refactor/R1-servicios-ia. aiController 901 → 152 líneas; cliente único de OpenAI; services/ia/ con 14 módulos. 365 unitarias + 431 de integración en verde; cobertura combinada 73,5 %. Plan 21, «R1 — Resultados».</t>
        </is>
      </c>
      <c r="I75" s="53" t="inlineStr">
        <is>
          <t>Aprobada por Luis el 8-oct. Subir main publicó también 5 commits previos suyos (entre ellos el 2FA en CRUD, ec4d48c). Luis autorizó subir a producción: la visita a las tiendas aún no ocurre. Falta comprobar el despliegue en Render.</t>
        </is>
      </c>
      <c r="J75" s="53" t="inlineStr">
        <is>
          <t>Agente (Claude Code)</t>
        </is>
      </c>
      <c r="K75" s="55" t="n">
        <v>46303</v>
      </c>
      <c r="L75" s="56">
        <f>IF(K75="","",TODAY()-K75)</f>
        <v/>
      </c>
    </row>
    <row r="76" ht="23.25" customHeight="1" s="35">
      <c r="A76" s="53" t="inlineStr">
        <is>
          <t>P21-03</t>
        </is>
      </c>
      <c r="B76" s="54" t="inlineStr">
        <is>
          <t>21</t>
        </is>
      </c>
      <c r="C76" s="53" t="inlineStr">
        <is>
          <t>Refactorización</t>
        </is>
      </c>
      <c r="D76" s="53" t="inlineStr">
        <is>
          <t>R2: eventos de inventario y servicios de dominio (proveedores, auth, productos, caja)</t>
        </is>
      </c>
      <c r="E76" s="53" t="inlineStr">
        <is>
          <t>Pendiente del plan</t>
        </is>
      </c>
      <c r="F76" s="53" t="inlineStr">
        <is>
          <t>No iniciado</t>
        </is>
      </c>
      <c r="G76" s="53" t="inlineStr">
        <is>
          <t>Media</t>
        </is>
      </c>
      <c r="H76" s="53" t="inlineStr">
        <is>
          <t>Plan 21, sección 4.</t>
        </is>
      </c>
      <c r="I76" s="53" t="inlineStr">
        <is>
          <t>Antes de R2, caracterizar también las ramas de error de cada endpoint (lección de R1). suppliersController es hoy el controlador más grande (632 líneas) y conserva el prompt de generateSmartOrder.</t>
        </is>
      </c>
      <c r="J76" s="53" t="n"/>
      <c r="K76" s="55" t="n">
        <v>46303</v>
      </c>
      <c r="L76" s="56">
        <f>IF(K76="","",TODAY()-K76)</f>
        <v/>
      </c>
    </row>
    <row r="77" ht="23.25" customHeight="1" s="35">
      <c r="A77" s="53" t="inlineStr">
        <is>
          <t>P21-04</t>
        </is>
      </c>
      <c r="B77" s="54" t="inlineStr">
        <is>
          <t>21</t>
        </is>
      </c>
      <c r="C77" s="53" t="inlineStr">
        <is>
          <t>Refactorización</t>
        </is>
      </c>
      <c r="D77" s="53" t="inlineStr">
        <is>
          <t>R3: hooks y descomposición del frontend, empezando por DashboardPage</t>
        </is>
      </c>
      <c r="E77" s="53" t="inlineStr">
        <is>
          <t>Pendiente del plan</t>
        </is>
      </c>
      <c r="F77" s="53" t="inlineStr">
        <is>
          <t>No iniciado</t>
        </is>
      </c>
      <c r="G77" s="53" t="inlineStr">
        <is>
          <t>Media</t>
        </is>
      </c>
      <c r="H77" s="53" t="inlineStr">
        <is>
          <t>Plan 21, sección 4.</t>
        </is>
      </c>
      <c r="I77" s="53" t="inlineStr">
        <is>
          <t>Después del piloto. El modo básico (plan 19, fases A a C) no depende de R3.1.</t>
        </is>
      </c>
      <c r="J77" s="53" t="n"/>
      <c r="K77" s="55" t="n">
        <v>46301</v>
      </c>
      <c r="L77" s="56">
        <f>IF(K77="","",TODAY()-K77)</f>
        <v/>
      </c>
    </row>
    <row r="78" ht="23.25" customHeight="1" s="35">
      <c r="A78" s="53" t="inlineStr">
        <is>
          <t>P21-05</t>
        </is>
      </c>
      <c r="B78" s="54" t="inlineStr">
        <is>
          <t>21</t>
        </is>
      </c>
      <c r="C78" s="53" t="inlineStr">
        <is>
          <t>Refactorización</t>
        </is>
      </c>
      <c r="D78" s="53" t="inlineStr">
        <is>
          <t>R4: limpieza (migración explícita, estilo de controladores, console.* → logger)</t>
        </is>
      </c>
      <c r="E78" s="53" t="inlineStr">
        <is>
          <t>Pendiente del plan</t>
        </is>
      </c>
      <c r="F78" s="53" t="inlineStr">
        <is>
          <t>No iniciado</t>
        </is>
      </c>
      <c r="G78" s="53" t="inlineStr">
        <is>
          <t>Baja</t>
        </is>
      </c>
      <c r="H78" s="53" t="inlineStr">
        <is>
          <t>Plan 21, sección 4.</t>
        </is>
      </c>
      <c r="I78" s="53" t="inlineStr">
        <is>
          <t>Al 8-oct quedan 164 console.* en el backend (authController 24, schedulerService 15, saleController 12, productController 12, app.js 12…). R1 limpió aiController, services/ia, services/inventory y suppliersController. Incluir mover ai_audit.log de la raíz a logs/.</t>
        </is>
      </c>
      <c r="J78" s="53" t="n"/>
      <c r="K78" s="55" t="n">
        <v>46303</v>
      </c>
      <c r="L78" s="56">
        <f>IF(K78="","",TODAY()-K78)</f>
        <v/>
      </c>
    </row>
    <row r="79" ht="23.25" customHeight="1" s="35">
      <c r="A79" s="53" t="inlineStr">
        <is>
          <t>P21-06</t>
        </is>
      </c>
      <c r="B79" s="54" t="inlineStr">
        <is>
          <t>21</t>
        </is>
      </c>
      <c r="C79" s="53" t="inlineStr">
        <is>
          <t>Tiempo real</t>
        </is>
      </c>
      <c r="D79" s="53" t="inlineStr">
        <is>
          <t>Decidir el transporte de las alertas en tiempo real: SSE (recomendado) o Socket.io</t>
        </is>
      </c>
      <c r="E79" s="53" t="inlineStr">
        <is>
          <t>Decisión pendiente</t>
        </is>
      </c>
      <c r="F79" s="53" t="inlineStr">
        <is>
          <t>No iniciado</t>
        </is>
      </c>
      <c r="G79" s="53" t="inlineStr">
        <is>
          <t>Alta</t>
        </is>
      </c>
      <c r="H79" s="53" t="inlineStr">
        <is>
          <t>Plan 21, secciones 5.2 y 8.</t>
        </is>
      </c>
      <c r="I79" s="53" t="inlineStr">
        <is>
          <t>Replantear después del piloto: para la app nativa, notificaciones push; SSE para la web.</t>
        </is>
      </c>
      <c r="J79" s="53" t="n"/>
      <c r="K79" s="55" t="n">
        <v>46292</v>
      </c>
      <c r="L79" s="56">
        <f>IF(K79="","",TODAY()-K79)</f>
        <v/>
      </c>
    </row>
    <row r="80" ht="23.25" customHeight="1" s="35">
      <c r="A80" s="53" t="inlineStr">
        <is>
          <t>P21-07</t>
        </is>
      </c>
      <c r="B80" s="54" t="inlineStr">
        <is>
          <t>21</t>
        </is>
      </c>
      <c r="C80" s="53" t="inlineStr">
        <is>
          <t>Tiempo real</t>
        </is>
      </c>
      <c r="D80" s="53" t="inlineStr">
        <is>
          <t>T1 y T2: canal interno, endpoint /api/eventos y hook del frontend que reemplaza las consultas periódicas</t>
        </is>
      </c>
      <c r="E80" s="53" t="inlineStr">
        <is>
          <t>Pendiente del plan</t>
        </is>
      </c>
      <c r="F80" s="53" t="inlineStr">
        <is>
          <t>No iniciado</t>
        </is>
      </c>
      <c r="G80" s="53" t="inlineStr">
        <is>
          <t>Media</t>
        </is>
      </c>
      <c r="H80" s="53" t="inlineStr">
        <is>
          <t>Plan 21, sección 5.3.</t>
        </is>
      </c>
      <c r="I80" s="53" t="inlineStr">
        <is>
          <t>Después del piloto, replanteado (ver la fila de la decisión de transporte).</t>
        </is>
      </c>
      <c r="J80" s="53" t="n"/>
      <c r="K80" s="55" t="n">
        <v>46292</v>
      </c>
      <c r="L80" s="56">
        <f>IF(K80="","",TODAY()-K80)</f>
        <v/>
      </c>
    </row>
    <row r="81" ht="15" customHeight="1" s="35">
      <c r="A81" s="53" t="inlineStr">
        <is>
          <t>P21-08</t>
        </is>
      </c>
      <c r="B81" s="54" t="inlineStr">
        <is>
          <t>21</t>
        </is>
      </c>
      <c r="C81" s="53" t="inlineStr">
        <is>
          <t>Tiempo real</t>
        </is>
      </c>
      <c r="D81" s="53" t="inlineStr">
        <is>
          <t>T3: Redis pub/sub (o LISTEN/NOTIFY) y Nginx para varias réplicas</t>
        </is>
      </c>
      <c r="E81" s="53" t="inlineStr">
        <is>
          <t>Pendiente del plan</t>
        </is>
      </c>
      <c r="F81" s="53" t="inlineStr">
        <is>
          <t>No iniciado</t>
        </is>
      </c>
      <c r="G81" s="53" t="inlineStr">
        <is>
          <t>Media</t>
        </is>
      </c>
      <c r="H81" s="53" t="inlineStr">
        <is>
          <t>Plan 21, sección 5.3.</t>
        </is>
      </c>
      <c r="I81" s="53" t="inlineStr">
        <is>
          <t>Junto con el Sprint 6 de Bases de Datos Avanzadas.</t>
        </is>
      </c>
      <c r="J81" s="53" t="n"/>
      <c r="K81" s="55" t="n">
        <v>46292</v>
      </c>
      <c r="L81" s="56">
        <f>IF(K81="","",TODAY()-K81)</f>
        <v/>
      </c>
    </row>
    <row r="82" ht="23.25" customHeight="1" s="35">
      <c r="A82" s="53" t="inlineStr">
        <is>
          <t>P21-09</t>
        </is>
      </c>
      <c r="B82" s="54" t="inlineStr">
        <is>
          <t>21</t>
        </is>
      </c>
      <c r="C82" s="53" t="inlineStr">
        <is>
          <t>Seguridad</t>
        </is>
      </c>
      <c r="D82" s="53" t="inlineStr">
        <is>
          <t>/api/verify-reset-code no tiene limitador propio: el código de 6 dígitos solo queda cubierto por el límite global (600 cada 15 min)</t>
        </is>
      </c>
      <c r="E82" s="53" t="inlineStr">
        <is>
          <t>Observación / defecto</t>
        </is>
      </c>
      <c r="F82" s="53" t="inlineStr">
        <is>
          <t>Terminado</t>
        </is>
      </c>
      <c r="G82" s="53" t="inlineStr">
        <is>
          <t>Alta</t>
        </is>
      </c>
      <c r="H82" s="53" t="inlineStr">
        <is>
          <t>routes/authRoutes.js:25; app.js solo limita forgot-password y reset-password. Caracterizado en autenticacion_flujos.test.js (R0).</t>
        </is>
      </c>
      <c r="I82" s="53" t="inlineStr">
        <is>
          <t>Mezclado en main (commit c0a65c3, merge cb028d9).</t>
        </is>
      </c>
      <c r="J82" s="53" t="n"/>
      <c r="K82" s="55" t="n">
        <v>46301</v>
      </c>
      <c r="L82" s="56">
        <f>IF(K82="","",TODAY()-K82)</f>
        <v/>
      </c>
    </row>
    <row r="83" ht="34.5" customHeight="1" s="35">
      <c r="A83" s="53" t="inlineStr">
        <is>
          <t>P21-10</t>
        </is>
      </c>
      <c r="B83" s="54" t="inlineStr">
        <is>
          <t>21</t>
        </is>
      </c>
      <c r="C83" s="53" t="inlineStr">
        <is>
          <t>Proveedores</t>
        </is>
      </c>
      <c r="D83" s="53" t="inlineStr">
        <is>
          <t>Recepción de mercancía sin tope: completarRecepcion acepta más unidades de las pedidas, y recibir menos cierra la orden sin dejar el faltante pendiente</t>
        </is>
      </c>
      <c r="E83" s="53" t="inlineStr">
        <is>
          <t>Observación / defecto</t>
        </is>
      </c>
      <c r="F83" s="53" t="inlineStr">
        <is>
          <t>Terminado</t>
        </is>
      </c>
      <c r="G83" s="53" t="inlineStr">
        <is>
          <t>Media</t>
        </is>
      </c>
      <c r="H83" s="53" t="inlineStr">
        <is>
          <t>feat/recepcion-con-confirmacion, mezclada en main el 4-oct (merge df20caa). Más de lo pedido: 409 RECEPCION_EXCEDE_PEDIDO y solo se registra con confirmar_exceso y motivo (queda en el Kardex). Menos: la orden queda «Parcial». cerrar_con_faltante la cierra. Prueba: recepcion_mercancia.test.js.</t>
        </is>
      </c>
      <c r="I83" s="53" t="inlineStr">
        <is>
          <t>Decidido por Luis el 4-oct (opción B, motivo obligatorio, faltante pendiente). La máquina de estados de PATCH /estado sigue abierta (P13-01).</t>
        </is>
      </c>
      <c r="J83" s="53" t="inlineStr">
        <is>
          <t>Agente (Claude Code)</t>
        </is>
      </c>
      <c r="K83" s="55" t="n">
        <v>46304</v>
      </c>
      <c r="L83" s="56">
        <f>IF(K83="","",TODAY()-K83)</f>
        <v/>
      </c>
    </row>
    <row r="84" ht="45.75" customHeight="1" s="35">
      <c r="A84" s="53" t="inlineStr">
        <is>
          <t>P21-11</t>
        </is>
      </c>
      <c r="B84" s="54" t="inlineStr">
        <is>
          <t>21</t>
        </is>
      </c>
      <c r="C84" s="53" t="inlineStr">
        <is>
          <t>Pruebas</t>
        </is>
      </c>
      <c r="D84" s="53" t="inlineStr">
        <is>
          <t>Los limitadores de peticiones comparten contador entre archivos de prueba: TRUNCATE … RESTART IDENTITY reutiliza user_1 y todas las peticiones sin sesión salen de la misma IP; con la suite creciendo puede aparecer un 429 intermitente</t>
        </is>
      </c>
      <c r="E84" s="53" t="inlineStr">
        <is>
          <t>Observación / defecto</t>
        </is>
      </c>
      <c r="F84" s="53" t="inlineStr">
        <is>
          <t>Terminado</t>
        </is>
      </c>
      <c r="G84" s="53" t="inlineStr">
        <is>
          <t>Baja</t>
        </is>
      </c>
      <c r="H84" s="53" t="inlineStr">
        <is>
          <t>Medido sin reinicio: global 242/600 sobre user_1, auth 7/10. tests/integration/helpers/limitadores.js reinicia los MemoryStore al comienzo de cada archivo (pico por archivo: 48/600 y 5/10); guardia limitadores_reinicio.test.js.</t>
        </is>
      </c>
      <c r="I84" s="53" t="inlineStr">
        <is>
          <t>Mezclado en main con R0 el 28-sep.</t>
        </is>
      </c>
      <c r="J84" s="53" t="n"/>
      <c r="K84" s="55" t="n">
        <v>46292</v>
      </c>
      <c r="L84" s="56">
        <f>IF(K84="","",TODAY()-K84)</f>
        <v/>
      </c>
    </row>
    <row r="85" ht="23.25" customHeight="1" s="35">
      <c r="A85" s="53" t="inlineStr">
        <is>
          <t>P21-12</t>
        </is>
      </c>
      <c r="B85" s="54" t="inlineStr">
        <is>
          <t>21</t>
        </is>
      </c>
      <c r="C85" s="53" t="inlineStr">
        <is>
          <t>Refactorización</t>
        </is>
      </c>
      <c r="D85" s="53" t="inlineStr">
        <is>
          <t>Código muerto: el chequeo !req.file de bulkUpload nunca se alcanza por esa ruta (validateFileType responde antes)</t>
        </is>
      </c>
      <c r="E85" s="53" t="inlineStr">
        <is>
          <t>Observación / defecto</t>
        </is>
      </c>
      <c r="F85" s="53" t="inlineStr">
        <is>
          <t>No iniciado</t>
        </is>
      </c>
      <c r="G85" s="53" t="inlineStr">
        <is>
          <t>Baja</t>
        </is>
      </c>
      <c r="H85" s="53" t="inlineStr">
        <is>
          <t>Caracterizado en productos_carga_masiva.test.js (R0).</t>
        </is>
      </c>
      <c r="I85" s="53" t="inlineStr">
        <is>
          <t>Entra en R4.</t>
        </is>
      </c>
      <c r="J85" s="53" t="n"/>
      <c r="K85" s="55" t="n">
        <v>46292</v>
      </c>
      <c r="L85" s="56">
        <f>IF(K85="","",TODAY()-K85)</f>
        <v/>
      </c>
    </row>
    <row r="86" ht="34.5" customHeight="1" s="35">
      <c r="A86" s="53" t="inlineStr">
        <is>
          <t>P21-13</t>
        </is>
      </c>
      <c r="B86" s="54" t="inlineStr">
        <is>
          <t>21</t>
        </is>
      </c>
      <c r="C86" s="53" t="inlineStr">
        <is>
          <t>Seguridad</t>
        </is>
      </c>
      <c r="D86" s="53" t="inlineStr">
        <is>
          <t>El skip de globalLimiter es código muerto: al montarse en /api/, req.path llega sin ese prefijo, así que login, registro y 2fa/verify sí gastan el presupuesto global</t>
        </is>
      </c>
      <c r="E86" s="53" t="inlineStr">
        <is>
          <t>Observación / defecto</t>
        </is>
      </c>
      <c r="F86" s="53" t="inlineStr">
        <is>
          <t>Terminado</t>
        </is>
      </c>
      <c r="G86" s="53" t="inlineStr">
        <is>
          <t>Baja</t>
        </is>
      </c>
      <c r="H86" s="53" t="inlineStr">
        <is>
          <t>middleware/rateLimiter.js (skip con req.path.startsWith('/api/login')…); comprobado con una prueba temporal del agente.</t>
        </is>
      </c>
      <c r="I86" s="53" t="inlineStr">
        <is>
          <t>Mezclado en main (commit c0a65c3, merge cb028d9).</t>
        </is>
      </c>
      <c r="J86" s="53" t="n"/>
      <c r="K86" s="55" t="n">
        <v>46301</v>
      </c>
      <c r="L86" s="56">
        <f>IF(K86="","",TODAY()-K86)</f>
        <v/>
      </c>
    </row>
    <row r="87" ht="23.25" customHeight="1" s="35">
      <c r="A87" s="53" t="inlineStr">
        <is>
          <t>P21-14</t>
        </is>
      </c>
      <c r="B87" s="54" t="inlineStr">
        <is>
          <t>21</t>
        </is>
      </c>
      <c r="C87" s="53" t="inlineStr">
        <is>
          <t>Caja</t>
        </is>
      </c>
      <c r="D87" s="53" t="inlineStr">
        <is>
          <t>Apertura de caja con transacción y bloqueo (punto 2.4), adelantada de R2 para antes del piloto</t>
        </is>
      </c>
      <c r="E87" s="53" t="inlineStr">
        <is>
          <t>Pendiente del plan</t>
        </is>
      </c>
      <c r="F87" s="53" t="inlineStr">
        <is>
          <t>Terminado</t>
        </is>
      </c>
      <c r="G87" s="53" t="inlineStr">
        <is>
          <t>Media</t>
        </is>
      </c>
      <c r="H87" s="53" t="inlineStr">
        <is>
          <t>Plan 21, punto 2.4 y sección 6; plan 22, sección 5 (A.3).</t>
        </is>
      </c>
      <c r="I87" s="53" t="inlineStr">
        <is>
          <t>Mezclado en main (commit 75a1861, merge cb028d9).</t>
        </is>
      </c>
      <c r="J87" s="53" t="n"/>
      <c r="K87" s="55" t="n">
        <v>46301</v>
      </c>
      <c r="L87" s="56">
        <f>IF(K87="","",TODAY()-K87)</f>
        <v/>
      </c>
    </row>
    <row r="88" ht="23.25" customHeight="1" s="35">
      <c r="A88" s="53" t="inlineStr">
        <is>
          <t>P21-15</t>
        </is>
      </c>
      <c r="B88" s="54" t="inlineStr">
        <is>
          <t>21</t>
        </is>
      </c>
      <c r="C88" s="53" t="inlineStr">
        <is>
          <t>Base de datos</t>
        </is>
      </c>
      <c r="D88" s="53" t="inlineStr">
        <is>
          <t>Migración explícita en lugar de la auto-migración de config/database.js (punto 2.2), adelantada de R4 para antes del piloto</t>
        </is>
      </c>
      <c r="E88" s="53" t="inlineStr">
        <is>
          <t>Decisión pendiente</t>
        </is>
      </c>
      <c r="F88" s="53" t="inlineStr">
        <is>
          <t>No iniciado</t>
        </is>
      </c>
      <c r="G88" s="53" t="inlineStr">
        <is>
          <t>Media</t>
        </is>
      </c>
      <c r="H88" s="53" t="inlineStr">
        <is>
          <t>Plan 21, punto 2.2 y decisión 4; plan 22, sección 5 (A.3).</t>
        </is>
      </c>
      <c r="I88" s="53" t="inlineStr">
        <is>
          <t>Recomendado: sí, antes de tener datos reales en producción. Ratificado el 8-oct: cargar cualquier módulo que importe config/database.js dispara la auto-migración contra el DATABASE_URL del .env (ocurrió por accidente al comprobar un require; apuntaba a la base local).</t>
        </is>
      </c>
      <c r="J88" s="53" t="n"/>
      <c r="K88" s="55" t="n">
        <v>46303</v>
      </c>
      <c r="L88" s="56">
        <f>IF(K88="","",TODAY()-K88)</f>
        <v/>
      </c>
    </row>
    <row r="89" ht="34.5" customHeight="1" s="35">
      <c r="A89" s="53" t="inlineStr">
        <is>
          <t>P21-16</t>
        </is>
      </c>
      <c r="B89" s="54" t="inlineStr">
        <is>
          <t>21</t>
        </is>
      </c>
      <c r="C89" s="53" t="inlineStr">
        <is>
          <t>Pruebas</t>
        </is>
      </c>
      <c r="D89" s="53" t="inlineStr">
        <is>
          <t>7 de los 11 E2E de Playwright fallan también en main: quedaron desalineados con el frontend actual (selector de rol en el login, #store_name, ToastContext)</t>
        </is>
      </c>
      <c r="E89" s="53" t="inlineStr">
        <is>
          <t>Observación / defecto</t>
        </is>
      </c>
      <c r="F89" s="53" t="inlineStr">
        <is>
          <t>No iniciado</t>
        </is>
      </c>
      <c r="G89" s="53" t="inlineStr">
        <is>
          <t>Media</t>
        </is>
      </c>
      <c r="H89" s="53" t="inlineStr">
        <is>
          <t>docs/hallazgo_e2e_desactualizados.md.</t>
        </is>
      </c>
      <c r="I89" s="53" t="inlineStr">
        <is>
          <t>Después del piloto, antes de R3. Mientras tanto, los cambios de interfaz se verifican a mano.</t>
        </is>
      </c>
      <c r="J89" s="53" t="n"/>
      <c r="K89" s="55" t="n">
        <v>46292</v>
      </c>
      <c r="L89" s="56">
        <f>IF(K89="","",TODAY()-K89)</f>
        <v/>
      </c>
    </row>
    <row r="90" ht="34.5" customHeight="1" s="35">
      <c r="A90" s="53" t="inlineStr">
        <is>
          <t>P22-01</t>
        </is>
      </c>
      <c r="B90" s="54" t="inlineStr">
        <is>
          <t>22</t>
        </is>
      </c>
      <c r="C90" s="53" t="inlineStr">
        <is>
          <t>Seguridad</t>
        </is>
      </c>
      <c r="D90" s="53" t="inlineStr">
        <is>
          <t>I0: auditoría de autorización: matriz rol × endpoint, requireAdmin donde corresponda y pruebas de 403 para el Tendero</t>
        </is>
      </c>
      <c r="E90" s="53" t="inlineStr">
        <is>
          <t>Pendiente del plan</t>
        </is>
      </c>
      <c r="F90" s="53" t="inlineStr">
        <is>
          <t>Terminado</t>
        </is>
      </c>
      <c r="G90" s="53" t="inlineStr">
        <is>
          <t>Alta</t>
        </is>
      </c>
      <c r="H90" s="53" t="inlineStr">
        <is>
          <t>Ramas fix/rutas-tienda-requireadmin (28-sep) y fix/i0-matriz-roles (3-oct), mezcladas y subidas. requireAdmin en 16 rutas más las de tienda; interfaz del Tendero ajustada (escáner solo suma stock).</t>
        </is>
      </c>
      <c r="I90" s="53" t="inlineStr">
        <is>
          <t>Verificación manual en producción por el QA del equipo con un usuario Tendero.</t>
        </is>
      </c>
      <c r="J90" s="53" t="n"/>
      <c r="K90" s="55" t="n">
        <v>46293</v>
      </c>
      <c r="L90" s="56">
        <f>IF(K90="","",TODAY()-K90)</f>
        <v/>
      </c>
    </row>
    <row r="91" ht="23.25" customHeight="1" s="35">
      <c r="A91" s="53" t="inlineStr">
        <is>
          <t>P22-02</t>
        </is>
      </c>
      <c r="B91" s="54" t="inlineStr">
        <is>
          <t>22</t>
        </is>
      </c>
      <c r="C91" s="53" t="inlineStr">
        <is>
          <t>Panel interno</t>
        </is>
      </c>
      <c r="D91" s="53" t="inlineStr">
        <is>
          <t>I1: esquema interno, cuentas del equipo creadas por script, inicio de sesión con segundo factor obligatorio, requireEquipo y bitácora</t>
        </is>
      </c>
      <c r="E91" s="53" t="inlineStr">
        <is>
          <t>Pendiente del plan</t>
        </is>
      </c>
      <c r="F91" s="53" t="inlineStr">
        <is>
          <t>Por verificar</t>
        </is>
      </c>
      <c r="G91" s="53" t="inlineStr">
        <is>
          <t>Alta</t>
        </is>
      </c>
      <c r="H91" s="53" t="inlineStr">
        <is>
          <t>Rama feat/panel-interno-metricas (cc0cbc0, df92831). Esquema interno, cuentas del equipo por script (npm run equipo:crear), login con 2FA obligatorio, requireEquipo, bitácora. Probado: 34 de integración + script de punta a punta + navegador real.</t>
        </is>
      </c>
      <c r="I91" s="53" t="inlineStr">
        <is>
          <t>Falta mezclar a main y crear las cuentas en producción (docs/Protocolo_Produccion.md, sección 6).</t>
        </is>
      </c>
      <c r="J91" s="53" t="inlineStr">
        <is>
          <t>Agente (Claude Code)</t>
        </is>
      </c>
      <c r="K91" s="55" t="n">
        <v>46303</v>
      </c>
      <c r="L91" s="56">
        <f>IF(K91="","",TODAY()-K91)</f>
        <v/>
      </c>
    </row>
    <row r="92" ht="23.25" customHeight="1" s="35">
      <c r="A92" s="53" t="inlineStr">
        <is>
          <t>P22-03</t>
        </is>
      </c>
      <c r="B92" s="54" t="inlineStr">
        <is>
          <t>22</t>
        </is>
      </c>
      <c r="C92" s="53" t="inlineStr">
        <is>
          <t>Panel interno</t>
        </is>
      </c>
      <c r="D92" s="53" t="inlineStr">
        <is>
          <t>I2: vistas de métricas agregadas y pantallas Tiendas, Detalle y Bitácora (solo lectura)</t>
        </is>
      </c>
      <c r="E92" s="53" t="inlineStr">
        <is>
          <t>Pendiente del plan</t>
        </is>
      </c>
      <c r="F92" s="53" t="inlineStr">
        <is>
          <t>Por verificar</t>
        </is>
      </c>
      <c r="G92" s="53" t="inlineStr">
        <is>
          <t>Alta</t>
        </is>
      </c>
      <c r="H92" s="53" t="inlineStr">
        <is>
          <t>Rama feat/panel-interno-metricas (cc0cbc0, df92831, eb0a7f2). Vistas v_tiendas_resumen/v_activacion/v_adopcion_semanal y pantallas Tiendas, Detalle, Embudo y Bitácora. 32 + 30 de integración. Funciona con una sola tienda.</t>
        </is>
      </c>
      <c r="I92" s="53" t="inlineStr">
        <is>
          <t>Excluye las tiendas de prueba. Pendiente que Luis confirme 3 definiciones propuestas (P22-20 y P22-21).</t>
        </is>
      </c>
      <c r="J92" s="53" t="inlineStr">
        <is>
          <t>Agente (Claude Code)</t>
        </is>
      </c>
      <c r="K92" s="55" t="n">
        <v>46303</v>
      </c>
      <c r="L92" s="56">
        <f>IF(K92="","",TODAY()-K92)</f>
        <v/>
      </c>
    </row>
    <row r="93" ht="23.25" customHeight="1" s="35">
      <c r="A93" s="53" t="inlineStr">
        <is>
          <t>P22-04</t>
        </is>
      </c>
      <c r="B93" s="54" t="inlineStr">
        <is>
          <t>22</t>
        </is>
      </c>
      <c r="C93" s="53" t="inlineStr">
        <is>
          <t>Funciones</t>
        </is>
      </c>
      <c r="D93" s="53" t="inlineStr">
        <is>
          <t>I3: funciones liberables por tienda (catálogo, requireFuncion, useFunciones, perfil por defecto del piloto)</t>
        </is>
      </c>
      <c r="E93" s="53" t="inlineStr">
        <is>
          <t>Pendiente del plan</t>
        </is>
      </c>
      <c r="F93" s="53" t="inlineStr">
        <is>
          <t>No iniciado</t>
        </is>
      </c>
      <c r="G93" s="53" t="inlineStr">
        <is>
          <t>Baja</t>
        </is>
      </c>
      <c r="H93" s="53" t="inlineStr">
        <is>
          <t>Plan 22, sección 3.4.</t>
        </is>
      </c>
      <c r="I93" s="53" t="inlineStr">
        <is>
          <t>Después del piloto: el modo básico web es una preferencia por usuario y no necesita funciones por tienda.</t>
        </is>
      </c>
      <c r="J93" s="53" t="n"/>
      <c r="K93" s="55" t="n">
        <v>46301</v>
      </c>
      <c r="L93" s="56">
        <f>IF(K93="","",TODAY()-K93)</f>
        <v/>
      </c>
    </row>
    <row r="94" ht="23.25" customHeight="1" s="35">
      <c r="A94" s="53" t="inlineStr">
        <is>
          <t>P22-05</t>
        </is>
      </c>
      <c r="B94" s="54" t="inlineStr">
        <is>
          <t>22</t>
        </is>
      </c>
      <c r="C94" s="53" t="inlineStr">
        <is>
          <t>Panel interno</t>
        </is>
      </c>
      <c r="D94" s="53" t="inlineStr">
        <is>
          <t>I4: pantalla de embudo, párrafo nuevo en la política de datos, pregunta de experiencia digital en el registro y encuesta de satisfacción (dos preguntas de «sorpresa», plan 19, 3.5)</t>
        </is>
      </c>
      <c r="E94" s="53" t="inlineStr">
        <is>
          <t>Pendiente del plan</t>
        </is>
      </c>
      <c r="F94" s="53" t="inlineStr">
        <is>
          <t>Parcial</t>
        </is>
      </c>
      <c r="G94" s="53" t="inlineStr">
        <is>
          <t>Media</t>
        </is>
      </c>
      <c r="H94" s="53" t="inlineStr">
        <is>
          <t>Hecha la pantalla de embudo (rama feat/panel-interno-metricas).</t>
        </is>
      </c>
      <c r="I94" s="53" t="inlineStr">
        <is>
          <t>Falta: preguntas del registro (días de apertura, experiencia digital), párrafo de la política de datos (texto legal: lo aprueba Luis) y encuesta de satisfacción.</t>
        </is>
      </c>
      <c r="J94" s="53" t="n"/>
      <c r="K94" s="55" t="n">
        <v>46303</v>
      </c>
      <c r="L94" s="56">
        <f>IF(K94="","",TODAY()-K94)</f>
        <v/>
      </c>
    </row>
    <row r="95" ht="23.25" customHeight="1" s="35">
      <c r="A95" s="53" t="inlineStr">
        <is>
          <t>P22-06</t>
        </is>
      </c>
      <c r="B95" s="54" t="inlineStr">
        <is>
          <t>22</t>
        </is>
      </c>
      <c r="C95" s="53" t="inlineStr">
        <is>
          <t>Métricas</t>
        </is>
      </c>
      <c r="D95" s="53" t="inlineStr">
        <is>
          <t>Definir con precisión "activación" (a: una venta en 7 días, b: ventas en 5 de 7 días, c: ventas los 7 días) antes de la convocatoria</t>
        </is>
      </c>
      <c r="E95" s="53" t="inlineStr">
        <is>
          <t>Decisión pendiente</t>
        </is>
      </c>
      <c r="F95" s="53" t="inlineStr">
        <is>
          <t>Terminado</t>
        </is>
      </c>
      <c r="G95" s="53" t="inlineStr">
        <is>
          <t>Alta</t>
        </is>
      </c>
      <c r="H95" s="53" t="inlineStr">
        <is>
          <t>Plan 22, sección 7, decisión 3.</t>
        </is>
      </c>
      <c r="I95" s="53" t="inlineStr">
        <is>
          <t>Decidido el 28-sep: al menos 20 productos y ventas en al menos 5 de los primeros 7 días.</t>
        </is>
      </c>
      <c r="J95" s="53" t="n"/>
      <c r="K95" s="55" t="n">
        <v>46293</v>
      </c>
      <c r="L95" s="56">
        <f>IF(K95="","",TODAY()-K95)</f>
        <v/>
      </c>
    </row>
    <row r="96" ht="34.5" customHeight="1" s="35">
      <c r="A96" s="53" t="inlineStr">
        <is>
          <t>P22-07</t>
        </is>
      </c>
      <c r="B96" s="54" t="inlineStr">
        <is>
          <t>22</t>
        </is>
      </c>
      <c r="C96" s="53" t="inlineStr">
        <is>
          <t>Métricas</t>
        </is>
      </c>
      <c r="D96" s="53" t="inlineStr">
        <is>
          <t>Definir "días de apertura" para la adopción: preguntarlos al registrarse o asumir 7</t>
        </is>
      </c>
      <c r="E96" s="53" t="inlineStr">
        <is>
          <t>Decisión pendiente</t>
        </is>
      </c>
      <c r="F96" s="53" t="inlineStr">
        <is>
          <t>Terminado</t>
        </is>
      </c>
      <c r="G96" s="53" t="inlineStr">
        <is>
          <t>Media</t>
        </is>
      </c>
      <c r="H96" s="53" t="inlineStr">
        <is>
          <t>Plan 22, sección 7, decisión 4.</t>
        </is>
      </c>
      <c r="I96" s="53" t="inlineStr">
        <is>
          <t>Decidido el 28-sep: se pregunta en el registro (Tienda.dias_apertura_semana, 1 a 7); las tiendas existentes quedan en 7. Se implementa en I4.</t>
        </is>
      </c>
      <c r="J96" s="53" t="n"/>
      <c r="K96" s="55" t="n">
        <v>46293</v>
      </c>
      <c r="L96" s="56">
        <f>IF(K96="","",TODAY()-K96)</f>
        <v/>
      </c>
    </row>
    <row r="97" ht="23.25" customHeight="1" s="35">
      <c r="A97" s="53" t="inlineStr">
        <is>
          <t>P22-08</t>
        </is>
      </c>
      <c r="B97" s="54" t="inlineStr">
        <is>
          <t>22</t>
        </is>
      </c>
      <c r="C97" s="53" t="inlineStr">
        <is>
          <t>Proceso</t>
        </is>
      </c>
      <c r="D97" s="53" t="inlineStr">
        <is>
          <t>Congelar cambios de producto durante las 6 semanas del piloto (solo correcciones de errores)</t>
        </is>
      </c>
      <c r="E97" s="53" t="inlineStr">
        <is>
          <t>Decisión pendiente</t>
        </is>
      </c>
      <c r="F97" s="53" t="inlineStr">
        <is>
          <t>Terminado</t>
        </is>
      </c>
      <c r="G97" s="53" t="inlineStr">
        <is>
          <t>Media</t>
        </is>
      </c>
      <c r="H97" s="53" t="inlineStr">
        <is>
          <t>Plan 22, sección 5, bloque D; Bitácora del 8-oct («el congelamiento del piloto rige desde su arranque»).</t>
        </is>
      </c>
      <c r="I97" s="53" t="inlineStr">
        <is>
          <t>Decidido por Luis: desde el arranque del piloto solo se despliegan correcciones de errores, cada una con su prueba; incluye la app.</t>
        </is>
      </c>
      <c r="J97" s="53" t="inlineStr">
        <is>
          <t>Luis</t>
        </is>
      </c>
      <c r="K97" s="55" t="n">
        <v>46304</v>
      </c>
      <c r="L97" s="56">
        <f>IF(K97="","",TODAY()-K97)</f>
        <v/>
      </c>
    </row>
    <row r="98" ht="34.5" customHeight="1" s="35">
      <c r="A98" s="53" t="inlineStr">
        <is>
          <t>P22-09</t>
        </is>
      </c>
      <c r="B98" s="54" t="inlineStr">
        <is>
          <t>22</t>
        </is>
      </c>
      <c r="C98" s="53" t="inlineStr">
        <is>
          <t>Seguridad</t>
        </is>
      </c>
      <c r="D98" s="53" t="inlineStr">
        <is>
          <t>Egresos de caja: aprobar y rechazar no revisan el rol ni la tienda; un Tendero puede aprobar egresos propios y de cualquier otra tienda</t>
        </is>
      </c>
      <c r="E98" s="53" t="inlineStr">
        <is>
          <t>Observación / defecto</t>
        </is>
      </c>
      <c r="F98" s="53" t="inlineStr">
        <is>
          <t>Terminado</t>
        </is>
      </c>
      <c r="G98" s="53" t="inlineStr">
        <is>
          <t>Alta</t>
        </is>
      </c>
      <c r="H98" s="53" t="inlineStr">
        <is>
          <t>routes/cashRegisterRoutes.js:15-16; models/CashRegister.js approveExpense y rejectExpense (WHERE id_egreso = ? sin id_tienda). Caracterizado en autorizacion_roles.test.js.</t>
        </is>
      </c>
      <c r="I98" s="53" t="inlineStr">
        <is>
          <t>Corregido el 28-sep: solo el Administrador, solo de su tienda y solo desde el estado Registrado (409 en otro caso).</t>
        </is>
      </c>
      <c r="J98" s="53" t="n"/>
      <c r="K98" s="55" t="n">
        <v>46293</v>
      </c>
      <c r="L98" s="56">
        <f>IF(K98="","",TODAY()-K98)</f>
        <v/>
      </c>
    </row>
    <row r="99" ht="34.5" customHeight="1" s="35">
      <c r="A99" s="53" t="inlineStr">
        <is>
          <t>P22-10</t>
        </is>
      </c>
      <c r="B99" s="54" t="inlineStr">
        <is>
          <t>22</t>
        </is>
      </c>
      <c r="C99" s="53" t="inlineStr">
        <is>
          <t>Seguridad</t>
        </is>
      </c>
      <c r="D99" s="53" t="inlineStr">
        <is>
          <t>Decidir la matriz de roles: qué puede hacer el Tendero en productos (editar, eliminar, precio), promociones, apply-strategy, alertas, ajuste de inventario, reportes y exportar</t>
        </is>
      </c>
      <c r="E99" s="53" t="inlineStr">
        <is>
          <t>Decisión pendiente</t>
        </is>
      </c>
      <c r="F99" s="53" t="inlineStr">
        <is>
          <t>Terminado</t>
        </is>
      </c>
      <c r="G99" s="53" t="inlineStr">
        <is>
          <t>Alta</t>
        </is>
      </c>
      <c r="H99" s="53" t="inlineStr">
        <is>
          <t>Plan 22, sección 1.4; tabla de autorizacion_roles.test.js.</t>
        </is>
      </c>
      <c r="I99" s="53" t="inlineStr">
        <is>
          <t>Decidido el 28-sep: D1 a D4 = solo Administrador (plan 22, sección 7, decisión 6; docs/propuesta_matriz_roles_P22-10.md).</t>
        </is>
      </c>
      <c r="J99" s="53" t="n"/>
      <c r="K99" s="55" t="n">
        <v>46293</v>
      </c>
      <c r="L99" s="56">
        <f>IF(K99="","",TODAY()-K99)</f>
        <v/>
      </c>
    </row>
    <row r="100" ht="23.25" customHeight="1" s="35">
      <c r="A100" s="53" t="inlineStr">
        <is>
          <t>P22-11</t>
        </is>
      </c>
      <c r="B100" s="54" t="inlineStr">
        <is>
          <t>22</t>
        </is>
      </c>
      <c r="C100" s="53" t="inlineStr">
        <is>
          <t>Seguridad</t>
        </is>
      </c>
      <c r="D100" s="53" t="inlineStr">
        <is>
          <t>POST /api/admin/seed vaciaba todas las tablas de todas las tiendas y creaba admin/admin123; cualquier persona registrada podía llamarla</t>
        </is>
      </c>
      <c r="E100" s="53" t="inlineStr">
        <is>
          <t>Observación / defecto</t>
        </is>
      </c>
      <c r="F100" s="53" t="inlineStr">
        <is>
          <t>Terminado</t>
        </is>
      </c>
      <c r="G100" s="53" t="inlineStr">
        <is>
          <t>Alta</t>
        </is>
      </c>
      <c r="H100" s="53" t="inlineStr">
        <is>
          <t>Corregido el 28-sep (fix/seed-produccion): ruta eliminada; la semilla solo corre como comando con guardia de base local.</t>
        </is>
      </c>
      <c r="I100" s="53" t="inlineStr">
        <is>
          <t>Plan 22, sección 1.4.</t>
        </is>
      </c>
      <c r="J100" s="53" t="n"/>
      <c r="K100" s="55" t="n">
        <v>46293</v>
      </c>
      <c r="L100" s="56">
        <f>IF(K100="","",TODAY()-K100)</f>
        <v/>
      </c>
    </row>
    <row r="101" ht="23.25" customHeight="1" s="35">
      <c r="A101" s="53" t="inlineStr">
        <is>
          <t>P22-12</t>
        </is>
      </c>
      <c r="B101" s="54" t="inlineStr">
        <is>
          <t>22</t>
        </is>
      </c>
      <c r="C101" s="53" t="inlineStr">
        <is>
          <t>Seguridad</t>
        </is>
      </c>
      <c r="D101" s="53" t="inlineStr">
        <is>
          <t>C1: reportes editables y borrables entre tiendas (Report.update/delete filtraban solo por id)</t>
        </is>
      </c>
      <c r="E101" s="53" t="inlineStr">
        <is>
          <t>Observación / defecto</t>
        </is>
      </c>
      <c r="F101" s="53" t="inlineStr">
        <is>
          <t>Terminado</t>
        </is>
      </c>
      <c r="G101" s="53" t="inlineStr">
        <is>
          <t>Alta</t>
        </is>
      </c>
      <c r="H101" s="53" t="inlineStr">
        <is>
          <t>Corregido el 28-sep (fix/aislamiento-reportes-feedback).</t>
        </is>
      </c>
      <c r="I101" s="53" t="n"/>
      <c r="J101" s="53" t="n"/>
      <c r="K101" s="55" t="n">
        <v>46293</v>
      </c>
      <c r="L101" s="56">
        <f>IF(K101="","",TODAY()-K101)</f>
        <v/>
      </c>
    </row>
    <row r="102" ht="23.25" customHeight="1" s="35">
      <c r="A102" s="53" t="inlineStr">
        <is>
          <t>P22-13</t>
        </is>
      </c>
      <c r="B102" s="54" t="inlineStr">
        <is>
          <t>22</t>
        </is>
      </c>
      <c r="C102" s="53" t="inlineStr">
        <is>
          <t>Seguridad</t>
        </is>
      </c>
      <c r="D102" s="53" t="inlineStr">
        <is>
          <t>C2: evaluación de IA de órdenes de otra tienda, con fuga de nombres y ventas de productos</t>
        </is>
      </c>
      <c r="E102" s="53" t="inlineStr">
        <is>
          <t>Observación / defecto</t>
        </is>
      </c>
      <c r="F102" s="53" t="inlineStr">
        <is>
          <t>Terminado</t>
        </is>
      </c>
      <c r="G102" s="53" t="inlineStr">
        <is>
          <t>Alta</t>
        </is>
      </c>
      <c r="H102" s="53" t="inlineStr">
        <is>
          <t>Corregido el 28-sep (fix/aislamiento-reportes-feedback); evaluateOrder caracterizado antes del cambio.</t>
        </is>
      </c>
      <c r="I102" s="53" t="n"/>
      <c r="J102" s="53" t="n"/>
      <c r="K102" s="55" t="n">
        <v>46293</v>
      </c>
      <c r="L102" s="56">
        <f>IF(K102="","",TODAY()-K102)</f>
        <v/>
      </c>
    </row>
    <row r="103" ht="15" customHeight="1" s="35">
      <c r="A103" s="53" t="inlineStr">
        <is>
          <t>P22-14</t>
        </is>
      </c>
      <c r="B103" s="54" t="inlineStr">
        <is>
          <t>22</t>
        </is>
      </c>
      <c r="C103" s="53" t="inlineStr">
        <is>
          <t>Seguridad</t>
        </is>
      </c>
      <c r="D103" s="53" t="inlineStr">
        <is>
          <t>C3: POST /api/alertas/test-summary enviaba correos sin requireAdmin</t>
        </is>
      </c>
      <c r="E103" s="53" t="inlineStr">
        <is>
          <t>Observación / defecto</t>
        </is>
      </c>
      <c r="F103" s="53" t="inlineStr">
        <is>
          <t>Terminado</t>
        </is>
      </c>
      <c r="G103" s="53" t="inlineStr">
        <is>
          <t>Media</t>
        </is>
      </c>
      <c r="H103" s="53" t="inlineStr">
        <is>
          <t>Corregido el 28-sep.</t>
        </is>
      </c>
      <c r="I103" s="53" t="n"/>
      <c r="J103" s="53" t="n"/>
      <c r="K103" s="55" t="n">
        <v>46293</v>
      </c>
      <c r="L103" s="56">
        <f>IF(K103="","",TODAY()-K103)</f>
        <v/>
      </c>
    </row>
    <row r="104" ht="23.25" customHeight="1" s="35">
      <c r="A104" s="53" t="inlineStr">
        <is>
          <t>P22-15</t>
        </is>
      </c>
      <c r="B104" s="54" t="inlineStr">
        <is>
          <t>22</t>
        </is>
      </c>
      <c r="C104" s="53" t="inlineStr">
        <is>
          <t>Seguridad</t>
        </is>
      </c>
      <c r="D104" s="53" t="inlineStr">
        <is>
          <t>C4: un token CSRF inválido responde 500 en vez de 403 (el manejador global ignora err.status)</t>
        </is>
      </c>
      <c r="E104" s="53" t="inlineStr">
        <is>
          <t>Observación / defecto</t>
        </is>
      </c>
      <c r="F104" s="53" t="inlineStr">
        <is>
          <t>Terminado</t>
        </is>
      </c>
      <c r="G104" s="53" t="inlineStr">
        <is>
          <t>Baja</t>
        </is>
      </c>
      <c r="H104" s="53" t="inlineStr">
        <is>
          <t>middleware/errorHandler.js: un CSRF inválido responde 403 con code CSRF_INVALID (antes 500). Commit «fix(api): cierra los hallazgos abiertos del contrato (C4…)», mezclado en main con feat/backend-app-tendero el 3-oct (cb028d9). Prueba: csrf_errores.test.js.</t>
        </is>
      </c>
      <c r="I104" s="53" t="inlineStr">
        <is>
          <t>Documentado en docs/contrato_api_app_tendero.md, [S6].</t>
        </is>
      </c>
      <c r="J104" s="53" t="inlineStr">
        <is>
          <t>Agente (Claude Code)</t>
        </is>
      </c>
      <c r="K104" s="55" t="n">
        <v>46304</v>
      </c>
      <c r="L104" s="56">
        <f>IF(K104="","",TODAY()-K104)</f>
        <v/>
      </c>
    </row>
    <row r="105" ht="23.25" customHeight="1" s="35">
      <c r="A105" s="53" t="inlineStr">
        <is>
          <t>P22-16</t>
        </is>
      </c>
      <c r="B105" s="54" t="inlineStr">
        <is>
          <t>22</t>
        </is>
      </c>
      <c r="C105" s="53" t="inlineStr">
        <is>
          <t>Seguridad</t>
        </is>
      </c>
      <c r="D105" s="53" t="inlineStr">
        <is>
          <t>C5: clienteRoutes aplica requireLogin a todo /api (rutas inexistentes responden 401 en vez de 404)</t>
        </is>
      </c>
      <c r="E105" s="53" t="inlineStr">
        <is>
          <t>Observación / defecto</t>
        </is>
      </c>
      <c r="F105" s="53" t="inlineStr">
        <is>
          <t>No iniciado</t>
        </is>
      </c>
      <c r="G105" s="53" t="inlineStr">
        <is>
          <t>Baja</t>
        </is>
      </c>
      <c r="H105" s="53" t="inlineStr">
        <is>
          <t>routes/clienteRoutes.js.</t>
        </is>
      </c>
      <c r="I105" s="53" t="inlineStr">
        <is>
          <t>Entra en R4. Verificado el 9-oct: app.js monta clienteRoutes en /api y el router aplica router.use(requireLogin).</t>
        </is>
      </c>
      <c r="J105" s="53" t="n"/>
      <c r="K105" s="55" t="n">
        <v>46304</v>
      </c>
      <c r="L105" s="56">
        <f>IF(K105="","",TODAY()-K105)</f>
        <v/>
      </c>
    </row>
    <row r="106" ht="23.25" customHeight="1" s="35">
      <c r="A106" s="53" t="inlineStr">
        <is>
          <t>P22-17</t>
        </is>
      </c>
      <c r="B106" s="54" t="inlineStr">
        <is>
          <t>22</t>
        </is>
      </c>
      <c r="C106" s="53" t="inlineStr">
        <is>
          <t>Seguridad</t>
        </is>
      </c>
      <c r="D106" s="53" t="inlineStr">
        <is>
          <t>C6: la carpeta exports/ era compartida; cualquier usuario listaba y descargaba exportaciones de otras tiendas</t>
        </is>
      </c>
      <c r="E106" s="53" t="inlineStr">
        <is>
          <t>Observación / defecto</t>
        </is>
      </c>
      <c r="F106" s="53" t="inlineStr">
        <is>
          <t>Terminado</t>
        </is>
      </c>
      <c r="G106" s="53" t="inlineStr">
        <is>
          <t>Alta</t>
        </is>
      </c>
      <c r="H106" s="53" t="inlineStr">
        <is>
          <t>Corregido el 3-oct (fix/exports-por-tienda): tienda en el nombre, verificación al descargar, borrado tras descarga, sin listado.</t>
        </is>
      </c>
      <c r="I106" s="53" t="n"/>
      <c r="J106" s="53" t="n"/>
      <c r="K106" s="55" t="n">
        <v>46293</v>
      </c>
      <c r="L106" s="56">
        <f>IF(K106="","",TODAY()-K106)</f>
        <v/>
      </c>
    </row>
    <row r="107" ht="23.25" customHeight="1" s="35">
      <c r="A107" s="53" t="inlineStr">
        <is>
          <t>P22-18</t>
        </is>
      </c>
      <c r="B107" s="54" t="inlineStr">
        <is>
          <t>22</t>
        </is>
      </c>
      <c r="C107" s="53" t="inlineStr">
        <is>
          <t>Seguridad</t>
        </is>
      </c>
      <c r="D107" s="53" t="inlineStr">
        <is>
          <t>C7: PUT /api/productos/agregar/:id sumaba o restaba stock sin movimiento en el Kardex</t>
        </is>
      </c>
      <c r="E107" s="53" t="inlineStr">
        <is>
          <t>Observación / defecto</t>
        </is>
      </c>
      <c r="F107" s="53" t="inlineStr">
        <is>
          <t>Terminado</t>
        </is>
      </c>
      <c r="G107" s="53" t="inlineStr">
        <is>
          <t>Alta</t>
        </is>
      </c>
      <c r="H107" s="53" t="inlineStr">
        <is>
          <t>Ruta eliminada el 3-oct (fix/i0-matriz-roles).</t>
        </is>
      </c>
      <c r="I107" s="53" t="n"/>
      <c r="J107" s="53" t="n"/>
      <c r="K107" s="55" t="n">
        <v>46293</v>
      </c>
      <c r="L107" s="56">
        <f>IF(K107="","",TODAY()-K107)</f>
        <v/>
      </c>
    </row>
    <row r="108" ht="23.25" customHeight="1" s="35">
      <c r="A108" s="53" t="inlineStr">
        <is>
          <t>P22-19</t>
        </is>
      </c>
      <c r="B108" s="54" t="inlineStr">
        <is>
          <t>22</t>
        </is>
      </c>
      <c r="C108" s="53" t="inlineStr">
        <is>
          <t>Métricas</t>
        </is>
      </c>
      <c r="D108" s="53" t="inlineStr">
        <is>
          <t>Excluir las tiendas de prueba del equipo de las métricas del piloto (propuesta: Tienda.es_prueba)</t>
        </is>
      </c>
      <c r="E108" s="53" t="inlineStr">
        <is>
          <t>Pendiente del plan</t>
        </is>
      </c>
      <c r="F108" s="53" t="inlineStr">
        <is>
          <t>Por verificar</t>
        </is>
      </c>
      <c r="G108" s="53" t="inlineStr">
        <is>
          <t>Alta</t>
        </is>
      </c>
      <c r="H108" s="53" t="inlineStr">
        <is>
          <t>Tienda.es_prueba (migración) y botón «Marcar como tienda de prueba» en el detalle de la tienda, con confirmación y rastro en la bitácora. Las vistas de activación y adopción la excluyen.</t>
        </is>
      </c>
      <c r="I108" s="53" t="inlineStr">
        <is>
          <t>Antes del arranque: marcar en producción las tiendas del equipo (QA, demostración, admin/admin123).</t>
        </is>
      </c>
      <c r="J108" s="53" t="n"/>
      <c r="K108" s="55" t="n">
        <v>46303</v>
      </c>
      <c r="L108" s="56">
        <f>IF(K108="","",TODAY()-K108)</f>
        <v/>
      </c>
    </row>
    <row r="109" ht="23.25" customHeight="1" s="35">
      <c r="A109" s="53" t="inlineStr">
        <is>
          <t>P23-01</t>
        </is>
      </c>
      <c r="B109" s="54" t="inlineStr">
        <is>
          <t>23</t>
        </is>
      </c>
      <c r="C109" s="53" t="inlineStr">
        <is>
          <t>Evaluador</t>
        </is>
      </c>
      <c r="D109" s="53" t="inlineStr">
        <is>
          <t>El evaluador de Feedback_IA compara un número equivocado: sugerencia_ia guarda el % de ajuste de la IA y feedbackController.js:99 lo usa como cantidad. Corregirlo y decidir qué cantidad(es) se evalúan (propuesta: motor, IA ajustada y lo que pidió el dueño)</t>
        </is>
      </c>
      <c r="E109" s="53" t="inlineStr">
        <is>
          <t>Observación / defecto</t>
        </is>
      </c>
      <c r="F109" s="53" t="inlineStr">
        <is>
          <t>No iniciado</t>
        </is>
      </c>
      <c r="G109" s="53" t="inlineStr">
        <is>
          <t>Alta</t>
        </is>
      </c>
      <c r="H109" s="53" t="inlineStr">
        <is>
          <t>Plan 23, secciones 1 y 3.A. controllers/feedbackController.js:99; ordenBorradorController.js:102.</t>
        </is>
      </c>
      <c r="I109" s="53" t="inlineStr">
        <is>
          <t>Antes del arranque del piloto. Decisión 1 de Luis. Probablemente requiere migración (columnas nuevas en Feedback_IA). Cambia el factor que usan alertas y Proveedores.</t>
        </is>
      </c>
      <c r="J109" s="53" t="inlineStr">
        <is>
          <t>Luis</t>
        </is>
      </c>
      <c r="K109" s="55" t="n">
        <v>46301</v>
      </c>
      <c r="L109" s="56">
        <f>IF(K109="","",TODAY()-K109)</f>
        <v/>
      </c>
    </row>
    <row r="110" ht="23.25" customHeight="1" s="35">
      <c r="A110" s="53" t="inlineStr">
        <is>
          <t>P23-02</t>
        </is>
      </c>
      <c r="B110" s="54" t="inlineStr">
        <is>
          <t>23</t>
        </is>
      </c>
      <c r="C110" s="53" t="inlineStr">
        <is>
          <t>Medición</t>
        </is>
      </c>
      <c r="D110" s="53" t="inlineStr">
        <is>
          <t>Reporte comparativo: error del motor, de la IA y del dueño frente a las ventas reales, por tienda y producto</t>
        </is>
      </c>
      <c r="E110" s="53" t="inlineStr">
        <is>
          <t>Pendiente del plan</t>
        </is>
      </c>
      <c r="F110" s="53" t="inlineStr">
        <is>
          <t>No iniciado</t>
        </is>
      </c>
      <c r="G110" s="53" t="inlineStr">
        <is>
          <t>Media</t>
        </is>
      </c>
      <c r="H110" s="53" t="inlineStr">
        <is>
          <t>Plan 23, sección 3.A3.</t>
        </is>
      </c>
      <c r="I110" s="53" t="inlineStr">
        <is>
          <t>En rama durante el piloto. Depende de P23-01. Sirve también para el documento académico.</t>
        </is>
      </c>
      <c r="J110" s="53" t="n"/>
      <c r="K110" s="55" t="n">
        <v>46301</v>
      </c>
      <c r="L110" s="56">
        <f>IF(K110="","",TODAY()-K110)</f>
        <v/>
      </c>
    </row>
    <row r="111" ht="23.25" customHeight="1" s="35">
      <c r="A111" s="53" t="inlineStr">
        <is>
          <t>P23-03</t>
        </is>
      </c>
      <c r="B111" s="54" t="inlineStr">
        <is>
          <t>23</t>
        </is>
      </c>
      <c r="C111" s="53" t="inlineStr">
        <is>
          <t>Motor adaptativo</t>
        </is>
      </c>
      <c r="D111" s="53" t="inlineStr">
        <is>
          <t>Estadística sin IA: tiempo real de entrega por proveedor, variabilidad de la demanda, efecto del día de la semana o la quincena</t>
        </is>
      </c>
      <c r="E111" s="53" t="inlineStr">
        <is>
          <t>Pendiente del plan</t>
        </is>
      </c>
      <c r="F111" s="53" t="inlineStr">
        <is>
          <t>No iniciado</t>
        </is>
      </c>
      <c r="G111" s="53" t="inlineStr">
        <is>
          <t>Media</t>
        </is>
      </c>
      <c r="H111" s="53" t="inlineStr">
        <is>
          <t>Plan 23, sección 3.A4.</t>
        </is>
      </c>
      <c r="I111" s="53" t="inlineStr">
        <is>
          <t>Opcional. En rama durante el piloto. Es lo más honesto para decir que el motor «se adapta».</t>
        </is>
      </c>
      <c r="J111" s="53" t="n"/>
      <c r="K111" s="55" t="n">
        <v>46301</v>
      </c>
      <c r="L111" s="56">
        <f>IF(K111="","",TODAY()-K111)</f>
        <v/>
      </c>
    </row>
    <row r="112" ht="23.25" customHeight="1" s="35">
      <c r="A112" s="53" t="inlineStr">
        <is>
          <t>P23-04</t>
        </is>
      </c>
      <c r="B112" s="54" t="inlineStr">
        <is>
          <t>23</t>
        </is>
      </c>
      <c r="C112" s="53" t="inlineStr">
        <is>
          <t>IA</t>
        </is>
      </c>
      <c r="D112" s="53" t="inlineStr">
        <is>
          <t>Darle contexto real al ajuste de la IA (calendario, quincena, festivos, vencimientos) y registrar el contexto en Auditoria_IA</t>
        </is>
      </c>
      <c r="E112" s="53" t="inlineStr">
        <is>
          <t>Pendiente del plan</t>
        </is>
      </c>
      <c r="F112" s="53" t="inlineStr">
        <is>
          <t>No iniciado</t>
        </is>
      </c>
      <c r="G112" s="53" t="inlineStr">
        <is>
          <t>Media</t>
        </is>
      </c>
      <c r="H112" s="53" t="inlineStr">
        <is>
          <t>Plan 23, sección 3.B.</t>
        </is>
      </c>
      <c r="I112" s="53" t="inlineStr">
        <is>
          <t>Depende de P23-01 y P23-02: sin medición no se sabe si mejora algo.</t>
        </is>
      </c>
      <c r="J112" s="53" t="n"/>
      <c r="K112" s="55" t="n">
        <v>46301</v>
      </c>
      <c r="L112" s="56">
        <f>IF(K112="","",TODAY()-K112)</f>
        <v/>
      </c>
    </row>
    <row r="113" ht="23.25" customHeight="1" s="35">
      <c r="A113" s="53" t="inlineStr">
        <is>
          <t>P23-05</t>
        </is>
      </c>
      <c r="B113" s="54" t="inlineStr">
        <is>
          <t>23</t>
        </is>
      </c>
      <c r="C113" s="53" t="inlineStr">
        <is>
          <t>IA</t>
        </is>
      </c>
      <c r="D113" s="53" t="inlineStr">
        <is>
          <t>Leer fotos de facturas del proveedor para dar entrada a mercancía o alta de catálogo, mandando a la IA solo las líneas y sin guardar la imagen</t>
        </is>
      </c>
      <c r="E113" s="53" t="inlineStr">
        <is>
          <t>Pendiente del plan</t>
        </is>
      </c>
      <c r="F113" s="53" t="inlineStr">
        <is>
          <t>No iniciado</t>
        </is>
      </c>
      <c r="G113" s="53" t="inlineStr">
        <is>
          <t>Media</t>
        </is>
      </c>
      <c r="H113" s="53" t="inlineStr">
        <is>
          <t>Plan 23, sección 3.C.</t>
        </is>
      </c>
      <c r="I113" s="53" t="inlineStr">
        <is>
          <t>Es el frente más grande. Depende de P23-06 y P23-07 (privacidad). Nunca fotos del cuaderno de fiados.</t>
        </is>
      </c>
      <c r="J113" s="53" t="n"/>
      <c r="K113" s="55" t="n">
        <v>46301</v>
      </c>
      <c r="L113" s="56">
        <f>IF(K113="","",TODAY()-K113)</f>
        <v/>
      </c>
    </row>
    <row r="114" ht="23.25" customHeight="1" s="35">
      <c r="A114" s="53" t="inlineStr">
        <is>
          <t>P23-06</t>
        </is>
      </c>
      <c r="B114" s="54" t="inlineStr">
        <is>
          <t>23</t>
        </is>
      </c>
      <c r="C114" s="53" t="inlineStr">
        <is>
          <t>Privacidad</t>
        </is>
      </c>
      <c r="D114" s="53" t="inlineStr">
        <is>
          <t>El Consejero manda el nombre del proveedor y las promociones mandan el «motivo del dueño» (texto libre) a OpenAI; la política publicada dice que no se envían datos personales</t>
        </is>
      </c>
      <c r="E114" s="53" t="inlineStr">
        <is>
          <t>Observación / defecto</t>
        </is>
      </c>
      <c r="F114" s="53" t="inlineStr">
        <is>
          <t>No iniciado</t>
        </is>
      </c>
      <c r="G114" s="53" t="inlineStr">
        <is>
          <t>Alta</t>
        </is>
      </c>
      <c r="H114" s="53" t="inlineStr">
        <is>
          <t>services/ia/contextoRecomendaciones.js arma cada producto con `proveedor` (nombre) y services/ia/prompts.js (mensajesRecomendaciones) lo envía completo con JSON.stringify; mensajesPromociones manda el «motivo del dueño» (texto libre). Verificado leyendo el código el 9-oct (antes estaba en controllers/aiController.js).</t>
        </is>
      </c>
      <c r="I114" s="53" t="inlineStr">
        <is>
          <t>Antes del arranque del piloto. Mandar id o etiqueta genérica; ampliar tests/integration/ia_privacidad.test.js. Decisión 3 de Luis. Además, services/ia/riesgoCliente.js escribe el nombre del cliente en ai_audit.log (registrarEnArchivo): no va a OpenAI ni a git (*.log), pero es un dato personal en un log del servidor; cambiarlo por el id junto con este arreglo.</t>
        </is>
      </c>
      <c r="J114" s="53" t="inlineStr">
        <is>
          <t>Luis</t>
        </is>
      </c>
      <c r="K114" s="55" t="n">
        <v>46304</v>
      </c>
      <c r="L114" s="56">
        <f>IF(K114="","",TODAY()-K114)</f>
        <v/>
      </c>
    </row>
    <row r="115" ht="23.25" customHeight="1" s="35">
      <c r="A115" s="53" t="inlineStr">
        <is>
          <t>P23-07</t>
        </is>
      </c>
      <c r="B115" s="54" t="inlineStr">
        <is>
          <t>23</t>
        </is>
      </c>
      <c r="C115" s="53" t="inlineStr">
        <is>
          <t>Privacidad</t>
        </is>
      </c>
      <c r="D115" s="53" t="inlineStr">
        <is>
          <t>Revisión jurídica de lo que se envía a OpenAI (responsable/encargado, transmisión internacional, registro ante la SIC, términos de OpenAI) y reescritura de la política de datos</t>
        </is>
      </c>
      <c r="E115" s="53" t="inlineStr">
        <is>
          <t>Decisión pendiente</t>
        </is>
      </c>
      <c r="F115" s="53" t="inlineStr">
        <is>
          <t>No iniciado</t>
        </is>
      </c>
      <c r="G115" s="53" t="inlineStr">
        <is>
          <t>Alta</t>
        </is>
      </c>
      <c r="H115" s="53" t="inlineStr">
        <is>
          <t>Plan 23, sección 4 (preguntas). frontend/src/pages/PoliticaDatosPage.jsx.</t>
        </is>
      </c>
      <c r="I115" s="53" t="inlineStr">
        <is>
          <t>Antes de activar cualquier función de IA que envíe datos personales o fotos. El equipo no es asesor jurídico: consultar al docente o al consultorio jurídico.</t>
        </is>
      </c>
      <c r="J115" s="53" t="inlineStr">
        <is>
          <t>Luis</t>
        </is>
      </c>
      <c r="K115" s="55" t="n">
        <v>46301</v>
      </c>
      <c r="L115" s="56">
        <f>IF(K115="","",TODAY()-K115)</f>
        <v/>
      </c>
    </row>
    <row r="116" ht="23.25" customHeight="1" s="35">
      <c r="A116" s="53" t="inlineStr">
        <is>
          <t>P23-08</t>
        </is>
      </c>
      <c r="B116" s="54" t="inlineStr">
        <is>
          <t>23</t>
        </is>
      </c>
      <c r="C116" s="53" t="inlineStr">
        <is>
          <t>Documentos</t>
        </is>
      </c>
      <c r="D116" s="53" t="inlineStr">
        <is>
          <t>Reposicionar la propuesta de valor: de «usando IA» a motor propio, explicable y auditable con la IA como capa opcional en evaluación; revisar título, objetivo general y objetivo específico 3; no reutilizar cifras sin respaldo (85 %, 28 %, 22 %, 4 h)</t>
        </is>
      </c>
      <c r="E116" s="53" t="inlineStr">
        <is>
          <t>Decisión pendiente</t>
        </is>
      </c>
      <c r="F116" s="53" t="inlineStr">
        <is>
          <t>En progreso</t>
        </is>
      </c>
      <c r="G116" s="53" t="inlineStr">
        <is>
          <t>Media</t>
        </is>
      </c>
      <c r="H116" s="53" t="inlineStr">
        <is>
          <t>Plan 23, sección 6. Documento único para actualizar el Documento 5 del Drive: docs/Revision_Documento_Practica_5_v2.docx (secciones A a G de la revisión del 26-sep, actualizadas, más H a K nuevas). Reemplaza al borrador «Secciones corregidas sobre la IA».</t>
        </is>
      </c>
      <c r="I116" s="53" t="inlineStr">
        <is>
          <t>Falta que Luis aplique los textos en el Documento 5 y en el Plan de Negocio e Intervención, y que consulte al docente antes de cambiar título y objetivos. Verificar los pasajes en Word/Drive. Nueve verificaciones pendientes en la sección K de la revisión v2.</t>
        </is>
      </c>
      <c r="J116" s="53" t="inlineStr">
        <is>
          <t>Luis</t>
        </is>
      </c>
      <c r="K116" s="55" t="n">
        <v>46304</v>
      </c>
      <c r="L116" s="56">
        <f>IF(K116="","",TODAY()-K116)</f>
        <v/>
      </c>
    </row>
    <row r="117" ht="23.25" customHeight="1" s="35">
      <c r="A117" s="53" t="inlineStr">
        <is>
          <t>P23-09</t>
        </is>
      </c>
      <c r="B117" s="54" t="inlineStr">
        <is>
          <t>23</t>
        </is>
      </c>
      <c r="C117" s="53" t="inlineStr">
        <is>
          <t>Privacidad</t>
        </is>
      </c>
      <c r="D117" s="53" t="inlineStr">
        <is>
          <t>El análisis de riesgo de un cliente (Cartera) mandaba el nombre del cliente a OpenAI; ahora manda el id</t>
        </is>
      </c>
      <c r="E117" s="53" t="inlineStr">
        <is>
          <t>Observación / defecto</t>
        </is>
      </c>
      <c r="F117" s="53" t="inlineStr">
        <is>
          <t>Terminado</t>
        </is>
      </c>
      <c r="G117" s="53" t="inlineStr">
        <is>
          <t>Alta</t>
        </is>
      </c>
      <c r="H117" s="53" t="inlineStr">
        <is>
          <t>Commit afddd1d (rama feat/modo-basico-web); tests/integration/ia_privacidad.test.js (confirmado en rojo antes del arreglo; 4 mutaciones detectadas).</t>
        </is>
      </c>
      <c r="I117" s="53" t="inlineStr">
        <is>
          <t>Mezclado en main con feat/modo-basico-web el 6-oct (merge 02f7ecc) y subido a origin.</t>
        </is>
      </c>
      <c r="J117" s="53" t="inlineStr">
        <is>
          <t>Agente (Claude Code)</t>
        </is>
      </c>
      <c r="K117" s="55" t="n">
        <v>46304</v>
      </c>
      <c r="L117" s="56">
        <f>IF(K117="","",TODAY()-K117)</f>
        <v/>
      </c>
    </row>
    <row r="118" ht="23.25" customHeight="1" s="35">
      <c r="A118" s="53" t="inlineStr">
        <is>
          <t>P21-17</t>
        </is>
      </c>
      <c r="B118" s="54" t="inlineStr">
        <is>
          <t>21</t>
        </is>
      </c>
      <c r="C118" s="53" t="inlineStr">
        <is>
          <t>Pruebas</t>
        </is>
      </c>
      <c r="D118" s="53" t="inlineStr">
        <is>
          <t>generar_reporte.js escribía el reporte en Documentacion/ (carpeta que el commit a665b8c eliminó) y npm run test:evidence terminaba en verde sin generarlo</t>
        </is>
      </c>
      <c r="E118" s="53" t="inlineStr">
        <is>
          <t>Observación / defecto</t>
        </is>
      </c>
      <c r="F118" s="53" t="inlineStr">
        <is>
          <t>Terminado</t>
        </is>
      </c>
      <c r="G118" s="53" t="inlineStr">
        <is>
          <t>Media</t>
        </is>
      </c>
      <c r="H118" s="53" t="inlineStr">
        <is>
          <t>Corregido en b899d45 (rama refactor/R1-servicios-ia): ruta a docs/ y process.exitCode = 1 si falla. Reporte regenerado: 365 + 431 = 796 pruebas.</t>
        </is>
      </c>
      <c r="I118" s="53" t="inlineStr">
        <is>
          <t>Subido a main el 8-oct (commit b899d45).</t>
        </is>
      </c>
      <c r="J118" s="53" t="inlineStr">
        <is>
          <t>Agente (Claude Code)</t>
        </is>
      </c>
      <c r="K118" s="55" t="n">
        <v>46303</v>
      </c>
      <c r="L118" s="56">
        <f>IF(K118="","",TODAY()-K118)</f>
        <v/>
      </c>
    </row>
    <row r="119" ht="23.25" customHeight="1" s="35">
      <c r="A119" s="53" t="inlineStr">
        <is>
          <t>P21-18</t>
        </is>
      </c>
      <c r="B119" s="54" t="inlineStr">
        <is>
          <t>21</t>
        </is>
      </c>
      <c r="C119" s="53" t="inlineStr">
        <is>
          <t>Documentación</t>
        </is>
      </c>
      <c r="D119" s="53" t="inlineStr">
        <is>
          <t>El CLAUDE.md del repo todavía cita Documentacion/Reporte_Pruebas_StockPilot.md; hoy el reporte está en docs/</t>
        </is>
      </c>
      <c r="E119" s="53" t="inlineStr">
        <is>
          <t>Mantenimiento de docs</t>
        </is>
      </c>
      <c r="F119" s="53" t="inlineStr">
        <is>
          <t>Terminado</t>
        </is>
      </c>
      <c r="G119" s="53" t="inlineStr">
        <is>
          <t>Baja</t>
        </is>
      </c>
      <c r="H119" s="53" t="inlineStr">
        <is>
          <t>CLAUDE.md del repo; commit 6d7db26.</t>
        </is>
      </c>
      <c r="I119" s="53" t="inlineStr">
        <is>
          <t>Corregido el 8-oct con la aprobación de Luis.</t>
        </is>
      </c>
      <c r="J119" s="53" t="inlineStr">
        <is>
          <t>Agente (Claude Code)</t>
        </is>
      </c>
      <c r="K119" s="55" t="n">
        <v>46303</v>
      </c>
      <c r="L119" s="56">
        <f>IF(K119="","",TODAY()-K119)</f>
        <v/>
      </c>
    </row>
    <row r="120" ht="23.25" customHeight="1" s="35">
      <c r="A120" s="53" t="inlineStr">
        <is>
          <t>P21-19</t>
        </is>
      </c>
      <c r="B120" s="54" t="inlineStr">
        <is>
          <t>21</t>
        </is>
      </c>
      <c r="C120" s="53" t="inlineStr">
        <is>
          <t>Pruebas</t>
        </is>
      </c>
      <c r="D120" s="53" t="inlineStr">
        <is>
          <t>coverage.include usa utils/**/*.js, que también cuenta 4 archivos de frontend/src/utils (arqueo, menu, pedir, security2FA; 126 sentencias al 100 %) en la cobertura del backend</t>
        </is>
      </c>
      <c r="E120" s="53" t="inlineStr">
        <is>
          <t>Observación / defecto</t>
        </is>
      </c>
      <c r="F120" s="53" t="inlineStr">
        <is>
          <t>No iniciado</t>
        </is>
      </c>
      <c r="G120" s="53" t="inlineStr">
        <is>
          <t>Baja</t>
        </is>
      </c>
      <c r="H120" s="53" t="inlineStr">
        <is>
          <t>vitest.config.js. Infla cerca de un punto la cobertura combinada (73,5 % reportado).</t>
        </is>
      </c>
      <c r="I120" s="53" t="inlineStr">
        <is>
          <t>Acotar el patrón (p. ej. ./utils/**) o documentar que es intencional.</t>
        </is>
      </c>
      <c r="J120" s="53" t="n"/>
      <c r="K120" s="55" t="n">
        <v>46303</v>
      </c>
      <c r="L120" s="56">
        <f>IF(K120="","",TODAY()-K120)</f>
        <v/>
      </c>
    </row>
    <row r="121" ht="23.25" customHeight="1" s="35">
      <c r="A121" s="53" t="inlineStr">
        <is>
          <t>P21-20</t>
        </is>
      </c>
      <c r="B121" s="54" t="inlineStr">
        <is>
          <t>21</t>
        </is>
      </c>
      <c r="C121" s="53" t="inlineStr">
        <is>
          <t>Pruebas</t>
        </is>
      </c>
      <c r="D121" s="53" t="inlineStr">
        <is>
          <t>Los umbrales de cobertura unitaria (10/15/19/9) están muy por debajo de lo medido (18,3/25,5/35,1/17,1); el plan 21, sección 3, pide subirlos, nunca bajarlos</t>
        </is>
      </c>
      <c r="E121" s="53" t="inlineStr">
        <is>
          <t>Decisión pendiente</t>
        </is>
      </c>
      <c r="F121" s="53" t="inlineStr">
        <is>
          <t>Terminado</t>
        </is>
      </c>
      <c r="G121" s="53" t="inlineStr">
        <is>
          <t>Media</t>
        </is>
      </c>
      <c r="H121" s="53" t="inlineStr">
        <is>
          <t>vitest.config.js: umbrales unitarios 10/15/19/9 → 17/23/32/15 (commit 91d8537). Medido: 18,3/25,3/34,4/17,0; el control falla con código 1 si no se cumple.</t>
        </is>
      </c>
      <c r="I121" s="53" t="inlineStr">
        <is>
          <t>Aprobado por Luis el 8-oct. Regla del plan 21, sección 3: los pisos solo suben.</t>
        </is>
      </c>
      <c r="J121" s="53" t="inlineStr">
        <is>
          <t>Luis</t>
        </is>
      </c>
      <c r="K121" s="55" t="n">
        <v>46303</v>
      </c>
      <c r="L121" s="56">
        <f>IF(K121="","",TODAY()-K121)</f>
        <v/>
      </c>
    </row>
    <row r="122" ht="23.25" customHeight="1" s="35">
      <c r="A122" s="53" t="inlineStr">
        <is>
          <t>P21-21</t>
        </is>
      </c>
      <c r="B122" s="54" t="inlineStr">
        <is>
          <t>21</t>
        </is>
      </c>
      <c r="C122" s="53" t="inlineStr">
        <is>
          <t>Pruebas</t>
        </is>
      </c>
      <c r="D122" s="53" t="inlineStr">
        <is>
          <t>Zonas con poca cobertura combinada: tenderoController 6 %, dashboardController 10 %, auditController 11 %, schedulerService 12 % (correos), storeController 30 %, reportController 40 %</t>
        </is>
      </c>
      <c r="E122" s="53" t="inlineStr">
        <is>
          <t>Observación / defecto</t>
        </is>
      </c>
      <c r="F122" s="53" t="inlineStr">
        <is>
          <t>No iniciado</t>
        </is>
      </c>
      <c r="G122" s="53" t="inlineStr">
        <is>
          <t>Media</t>
        </is>
      </c>
      <c r="H122" s="53" t="inlineStr">
        <is>
          <t>Cobertura combinada del 8-oct (npm run test:coverage:combinada).</t>
        </is>
      </c>
      <c r="I122" s="53" t="inlineStr">
        <is>
          <t>Caracterizarlas antes de R2 y R3. El planificador de correos es el de mayor riesgo.</t>
        </is>
      </c>
      <c r="J122" s="53" t="n"/>
      <c r="K122" s="55" t="n">
        <v>46303</v>
      </c>
      <c r="L122" s="56">
        <f>IF(K122="","",TODAY()-K122)</f>
        <v/>
      </c>
    </row>
    <row r="123" ht="23.25" customHeight="1" s="35">
      <c r="A123" s="53" t="inlineStr">
        <is>
          <t>P21-22</t>
        </is>
      </c>
      <c r="B123" s="54" t="inlineStr">
        <is>
          <t>21</t>
        </is>
      </c>
      <c r="C123" s="53" t="inlineStr">
        <is>
          <t>Pruebas</t>
        </is>
      </c>
      <c r="D123" s="53" t="inlineStr">
        <is>
          <t>Las corridas de integración muestran MaxListenersExceededWarning (11 listeners en un Server, probablemente supertest con isolate:false)</t>
        </is>
      </c>
      <c r="E123" s="53" t="inlineStr">
        <is>
          <t>Observación / defecto</t>
        </is>
      </c>
      <c r="F123" s="53" t="inlineStr">
        <is>
          <t>No iniciado</t>
        </is>
      </c>
      <c r="G123" s="53" t="inlineStr">
        <is>
          <t>Baja</t>
        </is>
      </c>
      <c r="H123" s="53" t="inlineStr">
        <is>
          <t>Salida de npm run test:integration y de test:evidence (8-oct).</t>
        </is>
      </c>
      <c r="I123" s="53" t="inlineStr">
        <is>
          <t>Inofensivo. Ya aparecía antes del cierre de R1; no se verificó si es anterior a R1.</t>
        </is>
      </c>
      <c r="J123" s="53" t="n"/>
      <c r="K123" s="55" t="n">
        <v>46303</v>
      </c>
      <c r="L123" s="56">
        <f>IF(K123="","",TODAY()-K123)</f>
        <v/>
      </c>
    </row>
    <row r="124" ht="23.25" customHeight="1" s="35">
      <c r="A124" s="53" t="inlineStr">
        <is>
          <t>P21-23</t>
        </is>
      </c>
      <c r="B124" s="54" t="inlineStr">
        <is>
          <t>21</t>
        </is>
      </c>
      <c r="C124" s="53" t="inlineStr">
        <is>
          <t>Seguridad</t>
        </is>
      </c>
      <c r="D124" s="53" t="inlineStr">
        <is>
          <t>El 2FA «obligatorio» del commit ec4d48c solo existía en el navegador: la API aceptaba cualquier escritura de un Administrador sin 2FA</t>
        </is>
      </c>
      <c r="E124" s="53" t="inlineStr">
        <is>
          <t>Observación / defecto</t>
        </is>
      </c>
      <c r="F124" s="53" t="inlineStr">
        <is>
          <t>Terminado</t>
        </is>
      </c>
      <c r="G124" s="53" t="inlineStr">
        <is>
          <t>Alta</t>
        </is>
      </c>
      <c r="H124" s="53" t="inlineStr">
        <is>
          <t>Rama feat/2fa-politica-servidor (commits de la política en el servidor y del frontend). middleware/twoFactor.js, 18 pruebas de integración. Verificado en el navegador contra stockpilot_test.</t>
        </is>
      </c>
      <c r="I124" s="53" t="inlineStr">
        <is>
          <t>Mezclado en main el 8-oct a las 15:12 (merge 5faab39) y subido a origin. La política sigue apagada por defecto (REQUIRE_ADMIN_2FA); decisión de Luis del 8-oct: en el piloto se informa, no se exige.</t>
        </is>
      </c>
      <c r="J124" s="53" t="inlineStr">
        <is>
          <t>Agente (Claude Code)</t>
        </is>
      </c>
      <c r="K124" s="55" t="n">
        <v>46304</v>
      </c>
      <c r="L124" s="56">
        <f>IF(K124="","",TODAY()-K124)</f>
        <v/>
      </c>
    </row>
    <row r="125" ht="23.25" customHeight="1" s="35">
      <c r="A125" s="53" t="inlineStr">
        <is>
          <t>P21-24</t>
        </is>
      </c>
      <c r="B125" s="54" t="inlineStr">
        <is>
          <t>21</t>
        </is>
      </c>
      <c r="C125" s="53" t="inlineStr">
        <is>
          <t>Seguridad</t>
        </is>
      </c>
      <c r="D125" s="53" t="inlineStr">
        <is>
          <t>generate2FA sobrescribía el secreto de un 2FA ya activo sin pedir contraseña ni código (una sesión robada podía cambiar el segundo factor)</t>
        </is>
      </c>
      <c r="E125" s="53" t="inlineStr">
        <is>
          <t>Observación / defecto</t>
        </is>
      </c>
      <c r="F125" s="53" t="inlineStr">
        <is>
          <t>Terminado</t>
        </is>
      </c>
      <c r="G125" s="53" t="inlineStr">
        <is>
          <t>Alta</t>
        </is>
      </c>
      <c r="H125" s="53" t="inlineStr">
        <is>
          <t>controllers/authController.js: 409 DOS_FACTORES_YA_ACTIVO. Cubierto en politica_dos_factores.test.js.</t>
        </is>
      </c>
      <c r="I125" s="53" t="inlineStr">
        <is>
          <t xml:space="preserve">Mezclado en main el 8-oct a las 15:12 (merge 5faab39) y subido a origin. </t>
        </is>
      </c>
      <c r="J125" s="53" t="inlineStr">
        <is>
          <t>Agente (Claude Code)</t>
        </is>
      </c>
      <c r="K125" s="55" t="n">
        <v>46304</v>
      </c>
      <c r="L125" s="56">
        <f>IF(K125="","",TODAY()-K125)</f>
        <v/>
      </c>
    </row>
    <row r="126" ht="23.25" customHeight="1" s="35">
      <c r="A126" s="53" t="inlineStr">
        <is>
          <t>P21-25</t>
        </is>
      </c>
      <c r="B126" s="54" t="inlineStr">
        <is>
          <t>21</t>
        </is>
      </c>
      <c r="C126" s="53" t="inlineStr">
        <is>
          <t>Seguridad</t>
        </is>
      </c>
      <c r="D126" s="53" t="inlineStr">
        <is>
          <t>/api/2fa/generate y /api/2fa/disable no tenían limitador de intentos (disable pide la contraseña y se podía adivinar sin límite)</t>
        </is>
      </c>
      <c r="E126" s="53" t="inlineStr">
        <is>
          <t>Observación / defecto</t>
        </is>
      </c>
      <c r="F126" s="53" t="inlineStr">
        <is>
          <t>Terminado</t>
        </is>
      </c>
      <c r="G126" s="53" t="inlineStr">
        <is>
          <t>Media</t>
        </is>
      </c>
      <c r="H126" s="53" t="inlineStr">
        <is>
          <t>middleware/rateLimiter.js: twoFactorSetupLimiter (5 fallos / 15 min), aparte de twoFactorLimiter. Cubierto en politica_dos_factores.test.js.</t>
        </is>
      </c>
      <c r="I126" s="53" t="inlineStr">
        <is>
          <t xml:space="preserve">Mezclado en main el 8-oct a las 15:12 (merge 5faab39) y subido a origin. </t>
        </is>
      </c>
      <c r="J126" s="53" t="inlineStr">
        <is>
          <t>Agente (Claude Code)</t>
        </is>
      </c>
      <c r="K126" s="55" t="n">
        <v>46304</v>
      </c>
      <c r="L126" s="56">
        <f>IF(K126="","",TODAY()-K126)</f>
        <v/>
      </c>
    </row>
    <row r="127" ht="23.25" customHeight="1" s="35">
      <c r="A127" s="53" t="inlineStr">
        <is>
          <t>P21-26</t>
        </is>
      </c>
      <c r="B127" s="54" t="inlineStr">
        <is>
          <t>21</t>
        </is>
      </c>
      <c r="C127" s="53" t="inlineStr">
        <is>
          <t>Seguridad</t>
        </is>
      </c>
      <c r="D127" s="53" t="inlineStr">
        <is>
          <t>Códigos de recuperación del 2FA: si un dueño pierde el celular queda fuera de su cuenta</t>
        </is>
      </c>
      <c r="E127" s="53" t="inlineStr">
        <is>
          <t>Decisión pendiente</t>
        </is>
      </c>
      <c r="F127" s="53" t="inlineStr">
        <is>
          <t>No iniciado</t>
        </is>
      </c>
      <c r="G127" s="53" t="inlineStr">
        <is>
          <t>Alta</t>
        </is>
      </c>
      <c r="H127" s="53" t="inlineStr">
        <is>
          <t>Plan 21, revisión del 2FA. Hoy solo existe el procedimiento manual de soporte (docs/Protocolo_Produccion.md, sección 5).</t>
        </is>
      </c>
      <c r="I127" s="53" t="inlineStr">
        <is>
          <t>Prerrequisito de encender REQUIRE_ADMIN_2FA. Después del piloto.</t>
        </is>
      </c>
      <c r="J127" s="53" t="inlineStr">
        <is>
          <t>Luis</t>
        </is>
      </c>
      <c r="K127" s="55" t="n">
        <v>46303</v>
      </c>
      <c r="L127" s="56">
        <f>IF(K127="","",TODAY()-K127)</f>
        <v/>
      </c>
    </row>
    <row r="128" ht="23.25" customHeight="1" s="35">
      <c r="A128" s="53" t="inlineStr">
        <is>
          <t>P21-27</t>
        </is>
      </c>
      <c r="B128" s="54" t="inlineStr">
        <is>
          <t>21</t>
        </is>
      </c>
      <c r="C128" s="53" t="inlineStr">
        <is>
          <t>Seguridad</t>
        </is>
      </c>
      <c r="D128" s="53" t="inlineStr">
        <is>
          <t>El secreto TOTP se guarda en texto plano en Usuarios.two_factor_secret y la ventana de tolerancia de otplib es la de por defecto</t>
        </is>
      </c>
      <c r="E128" s="53" t="inlineStr">
        <is>
          <t>Observación / defecto</t>
        </is>
      </c>
      <c r="F128" s="53" t="inlineStr">
        <is>
          <t>No iniciado</t>
        </is>
      </c>
      <c r="G128" s="53" t="inlineStr">
        <is>
          <t>Media</t>
        </is>
      </c>
      <c r="H128" s="53" t="inlineStr">
        <is>
          <t>models/User.js (set2FASecret); controllers/authController.js (authenticator.check sin options).</t>
        </is>
      </c>
      <c r="I128" s="53" t="inlineStr">
        <is>
          <t>Revisar el cifrado en reposo después del piloto.</t>
        </is>
      </c>
      <c r="J128" s="53" t="n"/>
      <c r="K128" s="55" t="n">
        <v>46303</v>
      </c>
      <c r="L128" s="56">
        <f>IF(K128="","",TODAY()-K128)</f>
        <v/>
      </c>
    </row>
    <row r="129" ht="23.25" customHeight="1" s="35">
      <c r="A129" s="53" t="inlineStr">
        <is>
          <t>P21-28</t>
        </is>
      </c>
      <c r="B129" s="54" t="inlineStr">
        <is>
          <t>21</t>
        </is>
      </c>
      <c r="C129" s="53" t="inlineStr">
        <is>
          <t>Refactorización</t>
        </is>
      </c>
      <c r="D129" s="53" t="inlineStr">
        <is>
          <t>ProfilePage tiene su propio modal de activación del 2FA, copia del nuevo components/security/Activar2FAModal.jsx</t>
        </is>
      </c>
      <c r="E129" s="53" t="inlineStr">
        <is>
          <t>Observación / defecto</t>
        </is>
      </c>
      <c r="F129" s="53" t="inlineStr">
        <is>
          <t>No iniciado</t>
        </is>
      </c>
      <c r="G129" s="53" t="inlineStr">
        <is>
          <t>Baja</t>
        </is>
      </c>
      <c r="H129" s="53" t="inlineStr">
        <is>
          <t>frontend/src/pages/ProfilePage.jsx (show2FAModal).</t>
        </is>
      </c>
      <c r="I129" s="53" t="inlineStr">
        <is>
          <t>Unificar al tocar el perfil (R3).</t>
        </is>
      </c>
      <c r="J129" s="53" t="n"/>
      <c r="K129" s="55" t="n">
        <v>46303</v>
      </c>
      <c r="L129" s="56">
        <f>IF(K129="","",TODAY()-K129)</f>
        <v/>
      </c>
    </row>
    <row r="130" ht="23.25" customHeight="1" s="35">
      <c r="A130" s="53" t="inlineStr">
        <is>
          <t>P22-20</t>
        </is>
      </c>
      <c r="B130" s="54" t="inlineStr">
        <is>
          <t>22</t>
        </is>
      </c>
      <c r="C130" s="53" t="inlineStr">
        <is>
          <t>Panel interno</t>
        </is>
      </c>
      <c r="D130" s="53" t="inlineStr">
        <is>
          <t>Confirmar dos definiciones PROPUESTAS del panel: el umbral «regular» de la adopción (50 %) y qué es «con uso en la semana 4» (≥ 1 día con ventas entre los días 22 y 28)</t>
        </is>
      </c>
      <c r="E130" s="53" t="inlineStr">
        <is>
          <t>Decisión pendiente</t>
        </is>
      </c>
      <c r="F130" s="53" t="inlineStr">
        <is>
          <t>Terminado</t>
        </is>
      </c>
      <c r="G130" s="53" t="inlineStr">
        <is>
          <t>Alta</t>
        </is>
      </c>
      <c r="H130" s="53" t="inlineStr">
        <is>
          <t>Confirmado por Luis el 9-oct-2026 tal como se propuso (umbral «regular» 50 %; «con uso en la semana 4» = al menos 1 día con ventas entre los días 22 y 28). Commit 334ad7f; services/interno/definiciones.js y plan 22.</t>
        </is>
      </c>
      <c r="I130" s="53" t="inlineStr">
        <is>
          <t>Fijar ANTES de publicar la convocatoria (documento de intervención, sección 1.6).</t>
        </is>
      </c>
      <c r="J130" s="53" t="inlineStr">
        <is>
          <t>Luis</t>
        </is>
      </c>
      <c r="K130" s="55" t="n">
        <v>46304</v>
      </c>
      <c r="L130" s="56">
        <f>IF(K130="","",TODAY()-K130)</f>
        <v/>
      </c>
    </row>
    <row r="131" ht="23.25" customHeight="1" s="35">
      <c r="A131" s="53" t="inlineStr">
        <is>
          <t>P22-21</t>
        </is>
      </c>
      <c r="B131" s="54" t="inlineStr">
        <is>
          <t>22</t>
        </is>
      </c>
      <c r="C131" s="53" t="inlineStr">
        <is>
          <t>Panel interno</t>
        </is>
      </c>
      <c r="D131" s="53" t="inlineStr">
        <is>
          <t>Confirmar qué cuenta como «productos cargados» en la activación: los que tiene la tienda (hoy) o solo los cargados en sus primeros 7 días</t>
        </is>
      </c>
      <c r="E131" s="53" t="inlineStr">
        <is>
          <t>Decisión pendiente</t>
        </is>
      </c>
      <c r="F131" s="53" t="inlineStr">
        <is>
          <t>Terminado</t>
        </is>
      </c>
      <c r="G131" s="53" t="inlineStr">
        <is>
          <t>Alta</t>
        </is>
      </c>
      <c r="H131" s="53" t="inlineStr">
        <is>
          <t>Confirmado por Luis el 9-oct-2026: «productos cargados» cuenta el total de la tienda (no solo los primeros 7 días). Commit 334ad7f; plan 22.</t>
        </is>
      </c>
      <c r="I131" s="53" t="inlineStr">
        <is>
          <t>La decisión del 28-sep dice «carga al menos 20 productos» sin ventana.</t>
        </is>
      </c>
      <c r="J131" s="53" t="inlineStr">
        <is>
          <t>Luis</t>
        </is>
      </c>
      <c r="K131" s="55" t="n">
        <v>46304</v>
      </c>
      <c r="L131" s="56">
        <f>IF(K131="","",TODAY()-K131)</f>
        <v/>
      </c>
    </row>
    <row r="132" ht="23.25" customHeight="1" s="35">
      <c r="A132" s="53" t="inlineStr">
        <is>
          <t>P22-22</t>
        </is>
      </c>
      <c r="B132" s="54" t="inlineStr">
        <is>
          <t>22</t>
        </is>
      </c>
      <c r="C132" s="53" t="inlineStr">
        <is>
          <t>Panel interno</t>
        </is>
      </c>
      <c r="D132" s="53" t="inlineStr">
        <is>
          <t>Crear las cuentas del equipo en producción y marcar las tiendas de prueba, una vez desplegado el panel</t>
        </is>
      </c>
      <c r="E132" s="53" t="inlineStr">
        <is>
          <t>Pendiente del plan</t>
        </is>
      </c>
      <c r="F132" s="53" t="inlineStr">
        <is>
          <t>No iniciado</t>
        </is>
      </c>
      <c r="G132" s="53" t="inlineStr">
        <is>
          <t>Alta</t>
        </is>
      </c>
      <c r="H132" s="53" t="inlineStr">
        <is>
          <t>docs/Protocolo_Produccion.md, sección 6 (npm run equipo:crear con la URL de Neon, copia de seguridad antes).</t>
        </is>
      </c>
      <c r="I132" s="53" t="inlineStr">
        <is>
          <t>Una cuenta por integrante. Revisar en los logs de Render que la migración terminó bien. Antes de crear las cuentas de producción hay que mezclar fix/equipo-crear-aviso-contrasena (P22-27): con Node 24 el script mostraba la contraseña al teclearla.</t>
        </is>
      </c>
      <c r="J132" s="53" t="inlineStr">
        <is>
          <t>Luis</t>
        </is>
      </c>
      <c r="K132" s="55" t="n">
        <v>46304</v>
      </c>
      <c r="L132" s="56">
        <f>IF(K132="","",TODAY()-K132)</f>
        <v/>
      </c>
    </row>
    <row r="133" ht="23.25" customHeight="1" s="35">
      <c r="A133" s="53" t="inlineStr">
        <is>
          <t>P22-23</t>
        </is>
      </c>
      <c r="B133" s="54" t="inlineStr">
        <is>
          <t>22</t>
        </is>
      </c>
      <c r="C133" s="53" t="inlineStr">
        <is>
          <t>Panel interno</t>
        </is>
      </c>
      <c r="D133" s="53" t="inlineStr">
        <is>
          <t>Aprobar y publicar el párrafo de la política de datos (plan 22, 3.7) que informa las métricas agregadas y que cada consulta del equipo queda registrada</t>
        </is>
      </c>
      <c r="E133" s="53" t="inlineStr">
        <is>
          <t>Decisión pendiente</t>
        </is>
      </c>
      <c r="F133" s="53" t="inlineStr">
        <is>
          <t>Por verificar</t>
        </is>
      </c>
      <c r="G133" s="53" t="inlineStr">
        <is>
          <t>Alta</t>
        </is>
      </c>
      <c r="H133" s="53" t="inlineStr">
        <is>
          <t>Párrafo aprobado por Luis tal cual el 9-oct-2026 y agregado como segundo párrafo de la sección 3 de /politica-datos (frontend/src/pages/PoliticaDatosPage.jsx). Prueba: tests/business_logic/politica_datos_metricas_equipo.test.js. En main y subido (ba5ef05); falta comprobar que /politica-datos en producción lo muestre tras el despliegue. Nota: el consentimiento guarda solo la fecha, sin versión del texto.</t>
        </is>
      </c>
      <c r="I133" s="53" t="inlineStr">
        <is>
          <t>Antes de la convocatoria.</t>
        </is>
      </c>
      <c r="J133" s="53" t="inlineStr">
        <is>
          <t>Luis</t>
        </is>
      </c>
      <c r="K133" s="55" t="n">
        <v>46304</v>
      </c>
      <c r="L133" s="56">
        <f>IF(K133="","",TODAY()-K133)</f>
        <v/>
      </c>
    </row>
    <row r="134" ht="23.25" customHeight="1" s="35">
      <c r="A134" s="53" t="inlineStr">
        <is>
          <t>P21-29</t>
        </is>
      </c>
      <c r="B134" s="54" t="inlineStr">
        <is>
          <t>21</t>
        </is>
      </c>
      <c r="C134" s="53" t="inlineStr">
        <is>
          <t>Pruebas</t>
        </is>
      </c>
      <c r="D134" s="53" t="inlineStr">
        <is>
          <t>Carrera latente en las pruebas de integración: helpers/db.js cargaba su propia copia de config/database.js y truncaba mientras esa copia migraba (deadlock intermitente)</t>
        </is>
      </c>
      <c r="E134" s="53" t="inlineStr">
        <is>
          <t>Observación / defecto</t>
        </is>
      </c>
      <c r="F134" s="53" t="inlineStr">
        <is>
          <t>Por verificar</t>
        </is>
      </c>
      <c r="G134" s="53" t="inlineStr">
        <is>
          <t>Media</t>
        </is>
      </c>
      <c r="H134" s="53" t="inlineStr">
        <is>
          <t>Corregido en la rama feat/panel-interno-metricas: el helper espera su migración. 60 corridas seguidas sin fallos.</t>
        </is>
      </c>
      <c r="I134" s="53" t="inlineStr">
        <is>
          <t>Falta mezclar a main.</t>
        </is>
      </c>
      <c r="J134" s="53" t="inlineStr">
        <is>
          <t>Agente (Claude Code)</t>
        </is>
      </c>
      <c r="K134" s="55" t="n">
        <v>46303</v>
      </c>
      <c r="L134" s="56">
        <f>IF(K134="","",TODAY()-K134)</f>
        <v/>
      </c>
    </row>
    <row r="135" ht="66.75" customHeight="1" s="35">
      <c r="A135" s="53" t="inlineStr">
        <is>
          <t>P04-06</t>
        </is>
      </c>
      <c r="B135" s="54" t="inlineStr">
        <is>
          <t>04</t>
        </is>
      </c>
      <c r="C135" s="53" t="inlineStr">
        <is>
          <t>Fiscal</t>
        </is>
      </c>
      <c r="D135" s="53" t="inlineStr">
        <is>
          <t>Verificar si el tiquete térmico de TicketPrinter puede llamarse «documento equivalente POS», como dice el plan 04, después de la Resolución DIAN 000165 de 2023 (POS electrónico)</t>
        </is>
      </c>
      <c r="E135" s="53" t="inlineStr">
        <is>
          <t>Decisión pendiente</t>
        </is>
      </c>
      <c r="F135" s="53" t="inlineStr">
        <is>
          <t>No iniciado</t>
        </is>
      </c>
      <c r="G135" s="53" t="inlineStr">
        <is>
          <t>Media</t>
        </is>
      </c>
      <c r="H135" s="53" t="inlineStr">
        <is>
          <t>Plan 04, vertiente B (nota del 9-oct).</t>
        </is>
      </c>
      <c r="I135" s="53" t="inlineStr">
        <is>
          <t>Las fuentes consultadas no coinciden sobre si aplica a tiendas no responsables de IVA. Consultar al docente o a un contador antes de usar esa frase en los documentos académicos.</t>
        </is>
      </c>
      <c r="J135" s="53" t="inlineStr">
        <is>
          <t>Luis</t>
        </is>
      </c>
      <c r="K135" s="55" t="n">
        <v>46304</v>
      </c>
      <c r="L135" s="56">
        <f>IF(K135="","",TODAY()-K135)</f>
        <v/>
      </c>
    </row>
    <row r="136" ht="79.5" customHeight="1" s="35">
      <c r="A136" s="53" t="inlineStr">
        <is>
          <t>P19-11</t>
        </is>
      </c>
      <c r="B136" s="54" t="inlineStr">
        <is>
          <t>19</t>
        </is>
      </c>
      <c r="C136" s="53" t="inlineStr">
        <is>
          <t>Modo básico</t>
        </is>
      </c>
      <c r="D136" s="53" t="inlineStr">
        <is>
          <t>El menú básico no incluye Colaboradores ni Cartera: un dueño que fía o que tiene un empleado debe pasar a «Ver menú completo» para crear clientes o colaboradores</t>
        </is>
      </c>
      <c r="E136" s="53" t="inlineStr">
        <is>
          <t>Decisión pendiente</t>
        </is>
      </c>
      <c r="F136" s="53" t="inlineStr">
        <is>
          <t>No iniciado</t>
        </is>
      </c>
      <c r="G136" s="53" t="inlineStr">
        <is>
          <t>Alta</t>
        </is>
      </c>
      <c r="H136" s="53" t="inlineStr">
        <is>
          <t>frontend/src/utils/menu.js (las dos entradas son soloAdmin sin `basico`). Plan 19, 3.4.2.</t>
        </is>
      </c>
      <c r="I136" s="53" t="inlineStr">
        <is>
          <t>La regla del plan («mostrar Colaboradores si hay más de un usuario») es circular: el segundo usuario se crea en esa misma pantalla. Decidir antes de la visita: agregarlas al menú básico o preguntarlo en la visita.</t>
        </is>
      </c>
      <c r="J136" s="53" t="inlineStr">
        <is>
          <t>Luis</t>
        </is>
      </c>
      <c r="K136" s="55" t="n">
        <v>46304</v>
      </c>
      <c r="L136" s="56">
        <f>IF(K136="","",TODAY()-K136)</f>
        <v/>
      </c>
    </row>
    <row r="137" ht="104.25" customHeight="1" s="35">
      <c r="A137" s="53" t="inlineStr">
        <is>
          <t>P21-30</t>
        </is>
      </c>
      <c r="B137" s="54" t="inlineStr">
        <is>
          <t>21</t>
        </is>
      </c>
      <c r="C137" s="53" t="inlineStr">
        <is>
          <t>Infraestructura</t>
        </is>
      </c>
      <c r="D137" s="53" t="inlineStr">
        <is>
          <t>Las tareas programadas (reversión de precios de promociones 00:05, evaluación de la IA 03:00, resumen semanal lunes 8:00) corren con node-cron dentro del servicio web; en Render gratuito el servidor se duerme a los 15 minutos sin tráfico y node-cron no recupera las ejecuciones perdidas</t>
        </is>
      </c>
      <c r="E137" s="53" t="inlineStr">
        <is>
          <t>Observación / defecto</t>
        </is>
      </c>
      <c r="F137" s="53" t="inlineStr">
        <is>
          <t>Por verificar</t>
        </is>
      </c>
      <c r="G137" s="53" t="inlineStr">
        <is>
          <t>Alta</t>
        </is>
      </c>
      <c r="H137" s="53" t="inlineStr">
        <is>
          <t>services/schedulerService.js, líneas 206-220. docs/restaurar_respaldo.md ya registra que el cron interno «casi nunca llega a correr» en Render.</t>
        </is>
      </c>
      <c r="I137" s="53" t="inlineStr">
        <is>
          <t>Comprobar en los logs de Render. Si no corren: dispararlas desde GitHub Actions contra un endpoint protegido (como el respaldo) o recuperarlas al arrancar. Afecta la evaluación diaria del plan 23 (P23-01, P23-02) y deja precios de promoción sin revertir. Relacionado con el worker del Sprint 6.2.</t>
        </is>
      </c>
      <c r="J137" s="53" t="n"/>
      <c r="K137" s="55" t="n">
        <v>46304</v>
      </c>
      <c r="L137" s="56">
        <f>IF(K137="","",TODAY()-K137)</f>
        <v/>
      </c>
    </row>
    <row r="138" ht="54" customHeight="1" s="35">
      <c r="A138" s="53" t="inlineStr">
        <is>
          <t>P22-24</t>
        </is>
      </c>
      <c r="B138" s="54" t="inlineStr">
        <is>
          <t>22</t>
        </is>
      </c>
      <c r="C138" s="53" t="inlineStr">
        <is>
          <t>Seguridad</t>
        </is>
      </c>
      <c r="D138" s="53" t="inlineStr">
        <is>
          <t>Limpiar la base de producción antes del arranque: cambiar o borrar la cuenta admin con la contraseña conocida (admin123) y las tiendas de prueba que no se usen en el piloto</t>
        </is>
      </c>
      <c r="E138" s="53" t="inlineStr">
        <is>
          <t>Pendiente del plan</t>
        </is>
      </c>
      <c r="F138" s="53" t="inlineStr">
        <is>
          <t>No iniciado</t>
        </is>
      </c>
      <c r="G138" s="53" t="inlineStr">
        <is>
          <t>Alta</t>
        </is>
      </c>
      <c r="H138" s="53" t="inlineStr">
        <is>
          <t>Plan 22, sección 5, C.4.</t>
        </is>
      </c>
      <c r="I138" s="53" t="inlineStr">
        <is>
          <t>Marcar la tienda como de prueba (P22-19) no cambia la contraseña. Copia de seguridad antes (docs/restaurar_respaldo.md).</t>
        </is>
      </c>
      <c r="J138" s="53" t="inlineStr">
        <is>
          <t>Luis</t>
        </is>
      </c>
      <c r="K138" s="55" t="n">
        <v>46304</v>
      </c>
      <c r="L138" s="56">
        <f>IF(K138="","",TODAY()-K138)</f>
        <v/>
      </c>
    </row>
    <row r="139" ht="41.25" customHeight="1" s="35">
      <c r="A139" s="53" t="inlineStr">
        <is>
          <t>P22-25</t>
        </is>
      </c>
      <c r="B139" s="54" t="inlineStr">
        <is>
          <t>22</t>
        </is>
      </c>
      <c r="C139" s="53" t="inlineStr">
        <is>
          <t>Infraestructura</t>
        </is>
      </c>
      <c r="D139" s="53" t="inlineStr">
        <is>
          <t>Entorno aparte para desarrollar la app desde el arranque del piloto (backend local o un servicio de pruebas con su propia base)</t>
        </is>
      </c>
      <c r="E139" s="53" t="inlineStr">
        <is>
          <t>Decisión pendiente</t>
        </is>
      </c>
      <c r="F139" s="53" t="inlineStr">
        <is>
          <t>No iniciado</t>
        </is>
      </c>
      <c r="G139" s="53" t="inlineStr">
        <is>
          <t>Alta</t>
        </is>
      </c>
      <c r="H139" s="53" t="inlineStr">
        <is>
          <t>Plan 22, sección 5, C.4; plan 07, 6.1; docs/guia_entorno_app.md (hoy la app se desarrolla contra el servidor desplegado).</t>
        </is>
      </c>
      <c r="I139" s="53" t="inlineStr">
        <is>
          <t>Antes del arranque: después, las ventas de prueba de la app se mezclarían con los datos del piloto.</t>
        </is>
      </c>
      <c r="J139" s="53" t="inlineStr">
        <is>
          <t>Luis</t>
        </is>
      </c>
      <c r="K139" s="55" t="n">
        <v>46304</v>
      </c>
      <c r="L139" s="56">
        <f>IF(K139="","",TODAY()-K139)</f>
        <v/>
      </c>
    </row>
    <row r="140" ht="54" customHeight="1" s="35">
      <c r="A140" s="53" t="inlineStr">
        <is>
          <t>P22-26</t>
        </is>
      </c>
      <c r="B140" s="54" t="inlineStr">
        <is>
          <t>22</t>
        </is>
      </c>
      <c r="C140" s="53" t="inlineStr">
        <is>
          <t>Métricas</t>
        </is>
      </c>
      <c r="D140" s="53" t="inlineStr">
        <is>
          <t>Definir cómo se mide la exactitud de inventario del piloto (indicador de la fase 5) mientras el conteo físico guiado esté a medias</t>
        </is>
      </c>
      <c r="E140" s="53" t="inlineStr">
        <is>
          <t>Decisión pendiente</t>
        </is>
      </c>
      <c r="F140" s="53" t="inlineStr">
        <is>
          <t>No iniciado</t>
        </is>
      </c>
      <c r="G140" s="53" t="inlineStr">
        <is>
          <t>Alta</t>
        </is>
      </c>
      <c r="H140" s="53" t="inlineStr">
        <is>
          <t>Plan 23, sección 2 (indicadores del piloto); P08-04 (conteo físico, Parcial).</t>
        </is>
      </c>
      <c r="I140" s="53" t="inlineStr">
        <is>
          <t>Opciones: conteo en papel por muestreo en la visita y al cierre, con ajuste individual en Movimientos, o terminar P08-04 antes del arranque.</t>
        </is>
      </c>
      <c r="J140" s="53" t="inlineStr">
        <is>
          <t>Luis</t>
        </is>
      </c>
      <c r="K140" s="55" t="n">
        <v>46304</v>
      </c>
      <c r="L140" s="56">
        <f>IF(K140="","",TODAY()-K140)</f>
        <v/>
      </c>
    </row>
    <row r="141" ht="79.5" customHeight="1" s="35">
      <c r="A141" s="53" t="inlineStr">
        <is>
          <t>P24-01</t>
        </is>
      </c>
      <c r="B141" s="54" t="inlineStr">
        <is>
          <t>24</t>
        </is>
      </c>
      <c r="C141" s="53" t="inlineStr">
        <is>
          <t>Backend app</t>
        </is>
      </c>
      <c r="D141" s="53" t="inlineStr">
        <is>
          <t>Correcciones del contrato de la app: costo_compra oculto al Tendero, cupo de crédito y cliente de la tienda en ventas fiadas, producto inexistente en el carrito → 404, historial con el precio vendido, alertas inexistentes → 404, códigos de barras duplicados, ventas del turno y límite de forgot-password</t>
        </is>
      </c>
      <c r="E141" s="53" t="inlineStr">
        <is>
          <t>Observación / defecto</t>
        </is>
      </c>
      <c r="F141" s="53" t="inlineStr">
        <is>
          <t>Terminado</t>
        </is>
      </c>
      <c r="G141" s="53" t="inlineStr">
        <is>
          <t>Alta</t>
        </is>
      </c>
      <c r="H141" s="53" t="inlineStr">
        <is>
          <t>Mezcladas en main con feat/backend-app-tendero el 3-oct (cb028d9). Pruebas: datos_de_margen, ventas_fiado_validaciones, ventas_precio_historico, link_barcode, ventas_turno, limitador_olvido_contrasena.</t>
        </is>
      </c>
      <c r="I141" s="53" t="inlineStr">
        <is>
          <t>Registradas en el plan 24 (no tenían plan ni fila).</t>
        </is>
      </c>
      <c r="J141" s="53" t="inlineStr">
        <is>
          <t>Agente (Claude Code)</t>
        </is>
      </c>
      <c r="K141" s="55" t="n">
        <v>46304</v>
      </c>
      <c r="L141" s="56">
        <f>IF(K141="","",TODAY()-K141)</f>
        <v/>
      </c>
    </row>
    <row r="142" ht="41.25" customHeight="1" s="35">
      <c r="A142" s="53" t="inlineStr">
        <is>
          <t>P24-02</t>
        </is>
      </c>
      <c r="B142" s="54" t="inlineStr">
        <is>
          <t>24</t>
        </is>
      </c>
      <c r="C142" s="53" t="inlineStr">
        <is>
          <t>Ventas</t>
        </is>
      </c>
      <c r="D142" s="53" t="inlineStr">
        <is>
          <t>Idempotencia de la venta del carrito (cabecera Idempotency-Key) y validación de metodo_pago (un «efectivo» en minúscula dejaba la venta fuera del arqueo)</t>
        </is>
      </c>
      <c r="E142" s="53" t="inlineStr">
        <is>
          <t>Pendiente del plan</t>
        </is>
      </c>
      <c r="F142" s="53" t="inlineStr">
        <is>
          <t>Terminado</t>
        </is>
      </c>
      <c r="G142" s="53" t="inlineStr">
        <is>
          <t>Alta</t>
        </is>
      </c>
      <c r="H142" s="53" t="inlineStr">
        <is>
          <t>feat/idempotencia-ventas, mezclada en main el 4-oct (a4dce1f). Pruebas: ventas_idempotencia.test.js, ventas_metodo_pago.test.js. Contrato [V2].</t>
        </is>
      </c>
      <c r="I142" s="53" t="inlineStr">
        <is>
          <t>Plan 24.</t>
        </is>
      </c>
      <c r="J142" s="53" t="inlineStr">
        <is>
          <t>Agente (Claude Code)</t>
        </is>
      </c>
      <c r="K142" s="55" t="n">
        <v>46304</v>
      </c>
      <c r="L142" s="56">
        <f>IF(K142="","",TODAY()-K142)</f>
        <v/>
      </c>
    </row>
    <row r="143" ht="41.25" customHeight="1" s="35">
      <c r="A143" s="53" t="inlineStr">
        <is>
          <t>P24-03</t>
        </is>
      </c>
      <c r="B143" s="54" t="inlineStr">
        <is>
          <t>24</t>
        </is>
      </c>
      <c r="C143" s="53" t="inlineStr">
        <is>
          <t>Seguridad</t>
        </is>
      </c>
      <c r="D143" s="53" t="inlineStr">
        <is>
          <t>El candado de sesión por canal no se liberaba al caducar la sesión: un Tendero que no cerraba sesión recibía 409 siempre</t>
        </is>
      </c>
      <c r="E143" s="53" t="inlineStr">
        <is>
          <t>Observación / defecto</t>
        </is>
      </c>
      <c r="F143" s="53" t="inlineStr">
        <is>
          <t>Terminado</t>
        </is>
      </c>
      <c r="G143" s="53" t="inlineStr">
        <is>
          <t>Alta</t>
        </is>
      </c>
      <c r="H143" s="53" t="inlineStr">
        <is>
          <t>fix/candado-sesion-caducada, mezclada en main el 4-oct (1c2ee25). utils/candadoSesion.js. Prueba: sesion_candado_caducada.test.js.</t>
        </is>
      </c>
      <c r="I143" s="53" t="inlineStr">
        <is>
          <t>Plan 24.</t>
        </is>
      </c>
      <c r="J143" s="53" t="inlineStr">
        <is>
          <t>Agente (Claude Code)</t>
        </is>
      </c>
      <c r="K143" s="55" t="n">
        <v>46304</v>
      </c>
      <c r="L143" s="56">
        <f>IF(K143="","",TODAY()-K143)</f>
        <v/>
      </c>
    </row>
    <row r="144" ht="41.25" customHeight="1" s="35">
      <c r="A144" s="53" t="inlineStr">
        <is>
          <t>P24-04</t>
        </is>
      </c>
      <c r="B144" s="54" t="inlineStr">
        <is>
          <t>24</t>
        </is>
      </c>
      <c r="C144" s="53" t="inlineStr">
        <is>
          <t>Caja</t>
        </is>
      </c>
      <c r="D144" s="53" t="inlineStr">
        <is>
          <t>Arqueo previo [K5] (ver la diferencia antes de cerrar), validación real del monto declarado y desglose por método de pago en el arqueo y en el historial</t>
        </is>
      </c>
      <c r="E144" s="53" t="inlineStr">
        <is>
          <t>Pendiente del plan</t>
        </is>
      </c>
      <c r="F144" s="53" t="inlineStr">
        <is>
          <t>Terminado</t>
        </is>
      </c>
      <c r="G144" s="53" t="inlineStr">
        <is>
          <t>Media</t>
        </is>
      </c>
      <c r="H144" s="53" t="inlineStr">
        <is>
          <t>feat/caja-arqueo-previo, mezclada en main el 6-oct a las 00:02 (6ce89ff). Pruebas: contrato_app_tendero.test.js › [K5], caja_historial.test.js.</t>
        </is>
      </c>
      <c r="I144" s="53" t="inlineStr">
        <is>
          <t>Cubre la opción 2 de docs/propuesta_verificacion_de_pagos.md. Plan 24.</t>
        </is>
      </c>
      <c r="J144" s="53" t="inlineStr">
        <is>
          <t>Agente (Claude Code)</t>
        </is>
      </c>
      <c r="K144" s="55" t="n">
        <v>46304</v>
      </c>
      <c r="L144" s="56">
        <f>IF(K144="","",TODAY()-K144)</f>
        <v/>
      </c>
    </row>
    <row r="145" ht="54" customHeight="1" s="35">
      <c r="A145" s="53" t="inlineStr">
        <is>
          <t>P24-05</t>
        </is>
      </c>
      <c r="B145" s="54" t="inlineStr">
        <is>
          <t>24</t>
        </is>
      </c>
      <c r="C145" s="53" t="inlineStr">
        <is>
          <t>Seguridad</t>
        </is>
      </c>
      <c r="D145" s="53" t="inlineStr">
        <is>
          <t>El historial de sesiones de caja (GET /api/caja/historial) pasó a ser solo del Administrador; antes la API lo entregaba a cualquier usuario con sesión (cambio de la matriz de roles hecho fuera de I0)</t>
        </is>
      </c>
      <c r="E145" s="53" t="inlineStr">
        <is>
          <t>Pendiente del plan</t>
        </is>
      </c>
      <c r="F145" s="53" t="inlineStr">
        <is>
          <t>Terminado</t>
        </is>
      </c>
      <c r="G145" s="53" t="inlineStr">
        <is>
          <t>Media</t>
        </is>
      </c>
      <c r="H145" s="53" t="inlineStr">
        <is>
          <t>Commit «fix(caja): el historial de sesiones de caja es solo del Administrador» en feat/caja-arqueo-previo (6-oct). Prueba: caja_historial_autorizacion.test.js.</t>
        </is>
      </c>
      <c r="I145" s="53" t="inlineStr">
        <is>
          <t>Anotado en docs/propuesta_matriz_roles_P22-10.md, sección 5 (9-oct). Plan 24.</t>
        </is>
      </c>
      <c r="J145" s="53" t="inlineStr">
        <is>
          <t>Agente (Claude Code)</t>
        </is>
      </c>
      <c r="K145" s="55" t="n">
        <v>46304</v>
      </c>
      <c r="L145" s="56">
        <f>IF(K145="","",TODAY()-K145)</f>
        <v/>
      </c>
    </row>
    <row r="146" ht="54" customHeight="1" s="35">
      <c r="A146" s="53" t="inlineStr">
        <is>
          <t>P24-06</t>
        </is>
      </c>
      <c r="B146" s="54" t="inlineStr">
        <is>
          <t>24</t>
        </is>
      </c>
      <c r="C146" s="53" t="inlineStr">
        <is>
          <t>Pagos</t>
        </is>
      </c>
      <c r="D146" s="53" t="inlineStr">
        <is>
          <t>Verificación de pagos con Tarjeta o Transferencia: referencia de pago opcional (opción 1) y foto del comprobante (opción 3)</t>
        </is>
      </c>
      <c r="E146" s="53" t="inlineStr">
        <is>
          <t>Trabajo futuro</t>
        </is>
      </c>
      <c r="F146" s="53" t="inlineStr">
        <is>
          <t>No iniciado</t>
        </is>
      </c>
      <c r="G146" s="53" t="inlineStr">
        <is>
          <t>Baja</t>
        </is>
      </c>
      <c r="H146" s="53" t="inlineStr">
        <is>
          <t>docs/propuesta_verificacion_de_pagos.md. La opción 2 quedó cubierta por P24-04.</t>
        </is>
      </c>
      <c r="I146" s="53" t="inlineStr">
        <is>
          <t>Decisión de Luis del 4-oct: por ahora se confía en lo registrado. Retomar si la visita o el piloto lo piden (la pregunta va en el guion, P07-03).</t>
        </is>
      </c>
      <c r="J146" s="53" t="inlineStr">
        <is>
          <t>Luis</t>
        </is>
      </c>
      <c r="K146" s="55" t="n">
        <v>46304</v>
      </c>
      <c r="L146" s="56">
        <f>IF(K146="","",TODAY()-K146)</f>
        <v/>
      </c>
    </row>
    <row r="147" ht="66.75" customHeight="1" s="35">
      <c r="A147" s="53" t="inlineStr">
        <is>
          <t>P24-07</t>
        </is>
      </c>
      <c r="B147" s="54" t="inlineStr">
        <is>
          <t>24</t>
        </is>
      </c>
      <c r="C147" s="53" t="inlineStr">
        <is>
          <t>Backend app</t>
        </is>
      </c>
      <c r="D147" s="53" t="inlineStr">
        <is>
          <t>Solo la venta tiene idempotencia: según el contrato, un egreso o una entrada de mercancía enviados dos veces se registran dos veces</t>
        </is>
      </c>
      <c r="E147" s="53" t="inlineStr">
        <is>
          <t>Observación / defecto</t>
        </is>
      </c>
      <c r="F147" s="53" t="inlineStr">
        <is>
          <t>No iniciado</t>
        </is>
      </c>
      <c r="G147" s="53" t="inlineStr">
        <is>
          <t>Media</t>
        </is>
      </c>
      <c r="H147" s="53" t="inlineStr">
        <is>
          <t>docs/contrato_api_app_tendero.md, sección 1 («Idempotencia»).</t>
        </is>
      </c>
      <c r="I147" s="53" t="inlineStr">
        <is>
          <t>Hoy lo mitiga la app (consulta el estado antes de reintentar). Revisar si el egreso [K4] y la entrada [M1] necesitan la misma cabecera antes de que la app maneje dinero en tiendas reales.</t>
        </is>
      </c>
      <c r="J147" s="53" t="n"/>
      <c r="K147" s="55" t="n">
        <v>46304</v>
      </c>
      <c r="L147" s="56">
        <f>IF(K147="","",TODAY()-K147)</f>
        <v/>
      </c>
    </row>
    <row r="148" ht="66.75" customHeight="1" s="35">
      <c r="A148" s="53" t="inlineStr">
        <is>
          <t>P25-01</t>
        </is>
      </c>
      <c r="B148" s="54" t="inlineStr">
        <is>
          <t>25</t>
        </is>
      </c>
      <c r="C148" s="53" t="inlineStr">
        <is>
          <t>Demostración</t>
        </is>
      </c>
      <c r="D148" s="53" t="inlineStr">
        <is>
          <t>Tienda de demostración (D1): decidir dónde vive: local en el portátil del equipo (recomendado), producción con es_prueba o base aparte en la nube</t>
        </is>
      </c>
      <c r="E148" s="53" t="inlineStr">
        <is>
          <t>Decisión pendiente</t>
        </is>
      </c>
      <c r="F148" s="53" t="inlineStr">
        <is>
          <t>Terminado</t>
        </is>
      </c>
      <c r="G148" s="53" t="inlineStr">
        <is>
          <t>Alta</t>
        </is>
      </c>
      <c r="H148" s="53" t="inlineStr">
        <is>
          <t>Decidido por Luis el 9-oct-2026: opción A, local (base stockpilot_demo en el portátil del equipo). Plan 25, sección 0.</t>
        </is>
      </c>
      <c r="I148" s="53" t="inlineStr">
        <is>
          <t>Decide Luis (toca producción). Relacionada con P22-25 (entorno aparte).</t>
        </is>
      </c>
      <c r="J148" s="53" t="inlineStr">
        <is>
          <t>Luis</t>
        </is>
      </c>
      <c r="K148" s="55" t="n">
        <v>46304</v>
      </c>
      <c r="L148" s="56">
        <f>IF(K148="","",TODAY()-K148)</f>
        <v/>
      </c>
    </row>
    <row r="149" ht="66.75" customHeight="1" s="35">
      <c r="A149" s="53" t="inlineStr">
        <is>
          <t>P25-02</t>
        </is>
      </c>
      <c r="B149" s="54" t="inlineStr">
        <is>
          <t>25</t>
        </is>
      </c>
      <c r="C149" s="53" t="inlineStr">
        <is>
          <t>Demostración</t>
        </is>
      </c>
      <c r="D149" s="53" t="inlineStr">
        <is>
          <t>Tienda de demostración (D2): alcance del escenario: alertas, /pedir, aprobar y enviar, recibir y una venta; ¿también fiado/cartera y caja?; ¿se muestra la cuenta de Tendero?</t>
        </is>
      </c>
      <c r="E149" s="53" t="inlineStr">
        <is>
          <t>Decisión pendiente</t>
        </is>
      </c>
      <c r="F149" s="53" t="inlineStr">
        <is>
          <t>Terminado</t>
        </is>
      </c>
      <c r="G149" s="53" t="inlineStr">
        <is>
          <t>Alta</t>
        </is>
      </c>
      <c r="H149" s="53" t="inlineStr">
        <is>
          <t>Decidido por Luis el 9-oct-2026: opción B (incluye fiado/cartera, egresos y arqueo de caja). No se muestra la cuenta de Tendero: la demostración es para el dueño. Plan 25, sección 0.</t>
        </is>
      </c>
      <c r="I149" s="53" t="inlineStr">
        <is>
          <t>Si incluye Cartera, depende de P19-11 (el menú básico no la trae).</t>
        </is>
      </c>
      <c r="J149" s="53" t="inlineStr">
        <is>
          <t>Luis</t>
        </is>
      </c>
      <c r="K149" s="55" t="n">
        <v>46304</v>
      </c>
      <c r="L149" s="56">
        <f>IF(K149="","",TODAY()-K149)</f>
        <v/>
      </c>
    </row>
    <row r="150" ht="66.75" customHeight="1" s="35">
      <c r="A150" s="53" t="inlineStr">
        <is>
          <t>P25-03</t>
        </is>
      </c>
      <c r="B150" s="54" t="inlineStr">
        <is>
          <t>25</t>
        </is>
      </c>
      <c r="C150" s="53" t="inlineStr">
        <is>
          <t>Demostración</t>
        </is>
      </c>
      <c r="D150" s="53" t="inlineStr">
        <is>
          <t>Tienda de demostración (D3 y D4): correo real al proveedor o solo PDF / «ya la envié»; mostrar o no el Consejero IA (necesita OpenAI)</t>
        </is>
      </c>
      <c r="E150" s="53" t="inlineStr">
        <is>
          <t>Decisión pendiente</t>
        </is>
      </c>
      <c r="F150" s="53" t="inlineStr">
        <is>
          <t>Terminado</t>
        </is>
      </c>
      <c r="G150" s="53" t="inlineStr">
        <is>
          <t>Media</t>
        </is>
      </c>
      <c r="H150" s="53" t="inlineStr">
        <is>
          <t>Decidido por Luis el 9-oct-2026: D3 = B (correo del proveedor demostrativo = buzón de Luis, que ya recibe solo sus correos; PDF como plan B) y D4 = no se muestra el Consejero IA. Plan 25, sección 0.</t>
        </is>
      </c>
      <c r="I150" s="53" t="inlineStr">
        <is>
          <t>Recomendado: correo a un buzón del equipo para el ensayo con PDF como plan B; sin Consejero IA.</t>
        </is>
      </c>
      <c r="J150" s="53" t="inlineStr">
        <is>
          <t>Luis</t>
        </is>
      </c>
      <c r="K150" s="55" t="n">
        <v>46304</v>
      </c>
      <c r="L150" s="56">
        <f>IF(K150="","",TODAY()-K150)</f>
        <v/>
      </c>
    </row>
    <row r="151" ht="66.75" customHeight="1" s="35">
      <c r="A151" s="53" t="inlineStr">
        <is>
          <t>P25-04</t>
        </is>
      </c>
      <c r="B151" s="54" t="inlineStr">
        <is>
          <t>25</t>
        </is>
      </c>
      <c r="C151" s="53" t="inlineStr">
        <is>
          <t>Demostración</t>
        </is>
      </c>
      <c r="D151" s="53" t="inlineStr">
        <is>
          <t>Fase 1 del plan 25: escenario reproducible (database/demoEscenario.js), semilla de demostración (database/seed_demo.js) y pruebas unitarias e de integración con mutaciones</t>
        </is>
      </c>
      <c r="E151" s="53" t="inlineStr">
        <is>
          <t>Pendiente del plan</t>
        </is>
      </c>
      <c r="F151" s="53" t="inlineStr">
        <is>
          <t>Terminado</t>
        </is>
      </c>
      <c r="G151" s="53" t="inlineStr">
        <is>
          <t>Alta</t>
        </is>
      </c>
      <c r="H151" s="53" t="inlineStr">
        <is>
          <t>Hecha el 9-oct-2026 en feat/tienda-demo: database/demoEscenario.js, database/seed_demo.js, npm run demo:sembrar. Pruebas: demo_escenario (23), demo_guardia (7), demo_sembrado (19, integración); suites completas 444 unitarias y 569 de integración en verde; mutaciones detectadas; recorrido manual en el navegador con una base local stockpilot_demo. Resultados en el plan 25, sección 4.</t>
        </is>
      </c>
      <c r="I151" s="53" t="inlineStr">
        <is>
          <t>No cubierto: quitar await db.migrationReady (intermitente); envío real de correo; celular. Falta el commit/merge a main (con aprobación de Luis).</t>
        </is>
      </c>
      <c r="J151" s="53" t="inlineStr">
        <is>
          <t>Agente (Claude Code)</t>
        </is>
      </c>
      <c r="K151" s="55" t="n">
        <v>46304</v>
      </c>
      <c r="L151" s="56">
        <f>IF(K151="","",TODAY()-K151)</f>
        <v/>
      </c>
    </row>
    <row r="152" ht="66.75" customHeight="1" s="35">
      <c r="A152" s="53" t="inlineStr">
        <is>
          <t>P25-05</t>
        </is>
      </c>
      <c r="B152" s="54" t="inlineStr">
        <is>
          <t>25</t>
        </is>
      </c>
      <c r="C152" s="53" t="inlineStr">
        <is>
          <t>Demostración</t>
        </is>
      </c>
      <c r="D152" s="53" t="inlineStr">
        <is>
          <t>Fase 2 del plan 25: reinicio (volver a sembrar el mismo día de la visita), guion de la visita y ensayo cronometrado</t>
        </is>
      </c>
      <c r="E152" s="53" t="inlineStr">
        <is>
          <t>Pendiente del plan</t>
        </is>
      </c>
      <c r="F152" s="53" t="inlineStr">
        <is>
          <t>Parcial</t>
        </is>
      </c>
      <c r="G152" s="53" t="inlineStr">
        <is>
          <t>Alta</t>
        </is>
      </c>
      <c r="H152" s="53" t="inlineStr">
        <is>
          <t>Guion hecho el 9-oct-2026: docs/guion_demo_tienda.md (preparación, checklist del día, 10 pasos con rótulos exactos, plan B, lo que no se enseña). npm run demo:servidor. Ensayo técnico en el navegador con una base temporal (aprobar, recibir parcial, enviar sin correo, caja, venta, arqueo, cartera). Plan 25, sección 4, «Fase 2 — Resultados».</t>
        </is>
      </c>
      <c r="I152" s="53" t="inlineStr">
        <is>
          <t>Falta: ensayo cronometrado por otra persona, correo real al buzón, celular, venta fiada/egreso/historial en pantalla, camino PDF / «ya la envié».</t>
        </is>
      </c>
      <c r="J152" s="53" t="inlineStr">
        <is>
          <t>Equipo</t>
        </is>
      </c>
      <c r="K152" s="55" t="n">
        <v>46304</v>
      </c>
      <c r="L152" s="56">
        <f>IF(K152="","",TODAY()-K152)</f>
        <v/>
      </c>
    </row>
    <row r="153" ht="66.75" customHeight="1" s="35">
      <c r="A153" s="53" t="inlineStr">
        <is>
          <t>P25-06</t>
        </is>
      </c>
      <c r="B153" s="54" t="inlineStr">
        <is>
          <t>25</t>
        </is>
      </c>
      <c r="C153" s="53" t="inlineStr">
        <is>
          <t>Seguridad</t>
        </is>
      </c>
      <c r="D153" s="53" t="inlineStr">
        <is>
          <t>C8: POST /api/ordenes/:ordenId/enviar-proveedor no filtra por tienda (la consulta usa solo id_orden) y ninguna prueba lo cubre</t>
        </is>
      </c>
      <c r="E153" s="53" t="inlineStr">
        <is>
          <t>Observación / defecto</t>
        </is>
      </c>
      <c r="F153" s="53" t="inlineStr">
        <is>
          <t>No iniciado</t>
        </is>
      </c>
      <c r="G153" s="53" t="inlineStr">
        <is>
          <t>Alta</t>
        </is>
      </c>
      <c r="H153" s="53" t="inlineStr">
        <is>
          <t>controllers/suppliersController.js:471 (los demás endpoints de órdenes sí filtran: l.261, 284-286, 339, 456, 567). Plan 25, 1.8.</t>
        </is>
      </c>
      <c r="I153" s="53" t="inlineStr">
        <is>
          <t>Decidido por Luis el 9-oct-2026 (D6): prioridad Alta, antes del arranque del piloto, en una rama aparte con la prueba primero. Un Administrador de otra tienda podría mandar el correo de una orden ajena (también la l.539 sin filtro).</t>
        </is>
      </c>
      <c r="J153" s="53" t="inlineStr">
        <is>
          <t>Agente (Claude Code)</t>
        </is>
      </c>
      <c r="K153" s="55" t="n">
        <v>46304</v>
      </c>
      <c r="L153" s="56">
        <f>IF(K153="","",TODAY()-K153)</f>
        <v/>
      </c>
    </row>
    <row r="154" ht="66.75" customHeight="1" s="35">
      <c r="A154" s="53" t="inlineStr">
        <is>
          <t>P25-07</t>
        </is>
      </c>
      <c r="B154" s="54" t="inlineStr">
        <is>
          <t>25</t>
        </is>
      </c>
      <c r="C154" s="53" t="inlineStr">
        <is>
          <t>Demostración</t>
        </is>
      </c>
      <c r="D154" s="53" t="inlineStr">
        <is>
          <t>Reinicio por tienda en producción para una demostración alojada allí (solo si P25-01 elige producción o la nube)</t>
        </is>
      </c>
      <c r="E154" s="53" t="inlineStr">
        <is>
          <t>Trabajo futuro</t>
        </is>
      </c>
      <c r="F154" s="53" t="inlineStr">
        <is>
          <t>No iniciado</t>
        </is>
      </c>
      <c r="G154" s="53" t="inlineStr">
        <is>
          <t>Baja</t>
        </is>
      </c>
      <c r="H154" s="53" t="inlineStr">
        <is>
          <t>Plan 25, fase 3: no existe ruta ni script para borrar los datos de una sola tienda.</t>
        </is>
      </c>
      <c r="I154" s="53" t="inlineStr">
        <is>
          <t>Alto riesgo (borra datos); requiere nueva decisión de Luis.</t>
        </is>
      </c>
      <c r="J154" s="53" t="inlineStr">
        <is>
          <t>Luis</t>
        </is>
      </c>
      <c r="K154" s="55" t="n">
        <v>46304</v>
      </c>
      <c r="L154" s="56">
        <f>IF(K154="","",TODAY()-K154)</f>
        <v/>
      </c>
    </row>
    <row r="155" ht="66.75" customHeight="1" s="35">
      <c r="A155" s="53" t="inlineStr">
        <is>
          <t>P25-08</t>
        </is>
      </c>
      <c r="B155" s="54" t="inlineStr">
        <is>
          <t>25</t>
        </is>
      </c>
      <c r="C155" s="53" t="inlineStr">
        <is>
          <t>Demostración</t>
        </is>
      </c>
      <c r="D155" s="53" t="inlineStr">
        <is>
          <t>Decidir qué se hace con database/seed_test_data.js (npm run seed): conservarlo, retirarlo o usar una tienda QA de producción; y dónde se commitean los docs sin commitear antes de crear la rama (D5 y D7 del plan 25)</t>
        </is>
      </c>
      <c r="E155" s="53" t="inlineStr">
        <is>
          <t>Decisión pendiente</t>
        </is>
      </c>
      <c r="F155" s="53" t="inlineStr">
        <is>
          <t>Terminado</t>
        </is>
      </c>
      <c r="G155" s="53" t="inlineStr">
        <is>
          <t>Alta</t>
        </is>
      </c>
      <c r="H155" s="53" t="inlineStr">
        <is>
          <t>Decidido por Luis el 9-oct-2026: D5 = conservar database/seed_test_data.js intacto (las tiendas QA están en producción y la demostración es local); D7 = un commit solo de docs en la rama actual, sin push hasta su aprobación. Plan 25, sección 0.</t>
        </is>
      </c>
      <c r="I155" s="53" t="inlineStr">
        <is>
          <t>Luis propuso eliminarlo y dejar solo las tiendas QA ya creadas (están en producción; con D1 = A la demostración es local). Recomendado: conservarlo y crear seed_demo.js aparte.</t>
        </is>
      </c>
      <c r="J155" s="53" t="inlineStr">
        <is>
          <t>Luis</t>
        </is>
      </c>
      <c r="K155" s="55" t="n">
        <v>46304</v>
      </c>
      <c r="L155" s="56">
        <f>IF(K155="","",TODAY()-K155)</f>
        <v/>
      </c>
    </row>
    <row r="156" ht="66.75" customHeight="1" s="35">
      <c r="A156" s="53" t="inlineStr">
        <is>
          <t>P22-27</t>
        </is>
      </c>
      <c r="B156" s="54" t="inlineStr">
        <is>
          <t>22</t>
        </is>
      </c>
      <c r="C156" s="53" t="inlineStr">
        <is>
          <t>Panel interno</t>
        </is>
      </c>
      <c r="D156" s="53" t="inlineStr">
        <is>
          <t>npm run equipo:crear: en Node 24 la contraseña se veía al teclearla y el aviso «Contraseña…» se borraba (la pantalla parecía detenida en «Usuario»)</t>
        </is>
      </c>
      <c r="E156" s="53" t="inlineStr">
        <is>
          <t>Observación / defecto</t>
        </is>
      </c>
      <c r="F156" s="53" t="inlineStr">
        <is>
          <t>Por verificar</t>
        </is>
      </c>
      <c r="G156" s="53" t="inlineStr">
        <is>
          <t>Alta</t>
        </is>
      </c>
      <c r="H156" s="53" t="inlineStr">
        <is>
          <t>Corregido el 9-oct-2026 en fix/equipo-crear-aviso-contrasena (commit d176576): services/interno/entradaOculta.js + scripts/equipo_crear.js. Prueba: tests/business_logic/entrada_oculta.test.js (readline real en modo terminal; la implementación anterior queda como referencia). Verificado por tubería contra stockpilot_test.</t>
        </is>
      </c>
      <c r="I156" s="53" t="inlineStr">
        <is>
          <t>Por verificar en una terminal real de Luis (el defecto se encontró ahí). Aún no está en main; hace falta mezclar la rama antes de crear las cuentas de producción (P22-22).</t>
        </is>
      </c>
      <c r="J156" s="53" t="inlineStr">
        <is>
          <t>Agente (Claude Code)</t>
        </is>
      </c>
      <c r="K156" s="55" t="n">
        <v>46304</v>
      </c>
      <c r="L156" s="56">
        <f>IF(K156="","",TODAY()-K156)</f>
        <v/>
      </c>
    </row>
    <row r="157" ht="66.75" customHeight="1" s="35">
      <c r="A157" s="53" t="inlineStr">
        <is>
          <t>P17-04</t>
        </is>
      </c>
      <c r="B157" s="54" t="inlineStr">
        <is>
          <t>17</t>
        </is>
      </c>
      <c r="C157" s="53" t="inlineStr">
        <is>
          <t>Alertas</t>
        </is>
      </c>
      <c r="D157" s="53" t="inlineStr">
        <is>
          <t>La campanita mostraba solo 5 alertas (críticas primero) y «+9»; las tarjetas del Monitor contaban por tipo (4/3/5) pero sus filtros por severidad (6/5/1); «Productos Agotados» del Dashboard contaba alertas de stock crítico</t>
        </is>
      </c>
      <c r="E157" s="53" t="inlineStr">
        <is>
          <t>Observación / defecto</t>
        </is>
      </c>
      <c r="F157" s="53" t="inlineStr">
        <is>
          <t>Por verificar</t>
        </is>
      </c>
      <c r="G157" s="53" t="inlineStr">
        <is>
          <t>Media</t>
        </is>
      </c>
      <c r="H157" s="53" t="inlineStr">
        <is>
          <t>Corregido el 9-oct-2026 en fix/campanita-alertas-coherentes (commit 960d7c6, sin push): frontend/src/utils/alertas.js (regla única = Alert.getStats), NotificationCenter.jsx, AlertasPage.jsx, DashboardPage.jsx. Pruebas: alertas_utils.test.js (12) y alertas_conteo_coherente.test.js (3, compara con /api/alertas/stats). Verificado en el navegador con la demostración (campanita 12, Monitor 12/4/3/5). Mezclado en local en feat/tienda-demo el 9-oct.</t>
        </is>
      </c>
      <c r="I157" s="53" t="inlineStr">
        <is>
          <t>Por verificar por Luis en su pantalla. No cambia la API ni el contrato [A1]. Falta mezclar a main.</t>
        </is>
      </c>
      <c r="J157" s="53" t="inlineStr">
        <is>
          <t>Agente (Claude Code)</t>
        </is>
      </c>
      <c r="K157" s="55" t="n">
        <v>46304</v>
      </c>
      <c r="L157" s="56">
        <f>IF(K157="","",TODAY()-K157)</f>
        <v/>
      </c>
    </row>
    <row r="158" ht="66.75" customHeight="1" s="35">
      <c r="A158" s="53" t="inlineStr">
        <is>
          <t>P17-05</t>
        </is>
      </c>
      <c r="B158" s="54" t="inlineStr">
        <is>
          <t>17</t>
        </is>
      </c>
      <c r="C158" s="53" t="inlineStr">
        <is>
          <t>Alertas</t>
        </is>
      </c>
      <c r="D158" s="53" t="inlineStr">
        <is>
          <t>Regla única de alertas por severidad en API y web: críticas = stock crítico + vencimiento crítico; advertencias = stock bajo + próximas a vencer; info = sobrestock y avisos; por producto distinto; separadores por tipo en el Monitor</t>
        </is>
      </c>
      <c r="E158" s="53" t="inlineStr">
        <is>
          <t>Decisión pendiente</t>
        </is>
      </c>
      <c r="F158" s="53" t="inlineStr">
        <is>
          <t>Por verificar</t>
        </is>
      </c>
      <c r="G158" s="53" t="inlineStr">
        <is>
          <t>Media</t>
        </is>
      </c>
      <c r="H158" s="53" t="inlineStr">
        <is>
          <t>Decidida e implementada el 9-oct-2026 (decisión de Luis): models/Alert.js (getStats por severidad), frontend/src/utils/alertas.js (regla única y seccionesDeAlertas), AlertasPage.jsx (separadores), DashboardPage.jsx («Productos en Estado Crítico»), contrato [A1] y plan 17 actualizados. Pruebas: alertas_utils (20) y alertas_conteo_coherente (5, compara servidor y frontend). Verificado en el navegador: Monitor 12/6/5/1, menú 6, Dashboard 6, campanita 12. Commits en feat/tienda-demo.</t>
        </is>
      </c>
      <c r="I158" s="53" t="inlineStr">
        <is>
          <t>Por verificar por Luis en su pantalla (reiniciar npm run demo:servidor para tomar la regla del servidor). Cambia el significado de GET /api/alertas/stats: ver P17-07.</t>
        </is>
      </c>
      <c r="J158" s="53" t="inlineStr">
        <is>
          <t>Luis</t>
        </is>
      </c>
      <c r="K158" s="55" t="n">
        <v>46304</v>
      </c>
      <c r="L158" s="56">
        <f>IF(K158="","",TODAY()-K158)</f>
        <v/>
      </c>
    </row>
    <row r="159" ht="66.75" customHeight="1" s="35">
      <c r="A159" s="53" t="inlineStr">
        <is>
          <t>P17-06</t>
        </is>
      </c>
      <c r="B159" s="54" t="inlineStr">
        <is>
          <t>17</t>
        </is>
      </c>
      <c r="C159" s="53" t="inlineStr">
        <is>
          <t>Alertas</t>
        </is>
      </c>
      <c r="D159" s="53" t="inlineStr">
        <is>
          <t>Detalles de la campanita fuera de lo corregido: «Mensajes para ti» limitado a 5 sin ver más; sobrestock navega a /analisis-detallado (contiene «stock»); descuadre_caja y solicitud_producto sin ícono propio (el frontend espera discrepancia_caja)</t>
        </is>
      </c>
      <c r="E159" s="53" t="inlineStr">
        <is>
          <t>Observación / defecto</t>
        </is>
      </c>
      <c r="F159" s="53" t="inlineStr">
        <is>
          <t>No iniciado</t>
        </is>
      </c>
      <c r="G159" s="53" t="inlineStr">
        <is>
          <t>Baja</t>
        </is>
      </c>
      <c r="H159" s="53" t="inlineStr">
        <is>
          <t>frontend/src/components/NotificationCenter.jsx (líneas ~126, 339-340 y estilos de tipos); controllers/cashRegisterController.js:72 emite descuadre_caja.</t>
        </is>
      </c>
      <c r="I159" s="53" t="inlineStr">
        <is>
          <t>Encontrado al investigar P17-04; no se tocó para no ampliar el alcance.</t>
        </is>
      </c>
      <c r="J159" s="53" t="n"/>
      <c r="K159" s="55" t="n">
        <v>46304</v>
      </c>
      <c r="L159" s="56">
        <f>IF(K159="","",TODAY()-K159)</f>
        <v/>
      </c>
    </row>
    <row r="160" ht="66.75" customHeight="1" s="35">
      <c r="A160" s="53" t="inlineStr">
        <is>
          <t>P17-07</t>
        </is>
      </c>
      <c r="B160" s="54" t="inlineStr">
        <is>
          <t>17</t>
        </is>
      </c>
      <c r="C160" s="53" t="inlineStr">
        <is>
          <t>Alertas</t>
        </is>
      </c>
      <c r="D160" s="53" t="inlineStr">
        <is>
          <t>Avisar al equipo de la app del cambio de significado de GET /api/alertas/stats (contrato [A1]): critico/advertencia ahora incluyen vencimientos; los campos son los mismos</t>
        </is>
      </c>
      <c r="E160" s="53" t="inlineStr">
        <is>
          <t>Pendiente del plan</t>
        </is>
      </c>
      <c r="F160" s="53" t="inlineStr">
        <is>
          <t>No iniciado</t>
        </is>
      </c>
      <c r="G160" s="53" t="inlineStr">
        <is>
          <t>Media</t>
        </is>
      </c>
      <c r="H160" s="53" t="inlineStr">
        <is>
          <t>docs/contrato_api_app_tendero.md [A1] (actualizado el 9-oct-2026); regla en models/Alert.js getStats. Cambio compatible en forma, distinto en significado (paso 3 de la sección 12 del contrato).</t>
        </is>
      </c>
      <c r="I160" s="53" t="inlineStr">
        <is>
          <t>La app no va en la visita ni en el piloto, pero su insignia del menú usa este endpoint. Avisar antes de desplegar a producción.</t>
        </is>
      </c>
      <c r="J160" s="53" t="inlineStr">
        <is>
          <t>Luis</t>
        </is>
      </c>
      <c r="K160" s="55" t="n">
        <v>46304</v>
      </c>
      <c r="L160" s="56">
        <f>IF(K160="","",TODAY()-K160)</f>
        <v/>
      </c>
    </row>
    <row r="161" ht="66.75" customHeight="1" s="35">
      <c r="A161" s="53" t="inlineStr">
        <is>
          <t>P25-09</t>
        </is>
      </c>
      <c r="B161" s="54" t="inlineStr">
        <is>
          <t>25</t>
        </is>
      </c>
      <c r="C161" s="53" t="inlineStr">
        <is>
          <t>Demostración</t>
        </is>
      </c>
      <c r="D161" s="53" t="inlineStr">
        <is>
          <t>En /pedir, tras aprobar un pedido la lista «Por pedir» vuelve a sugerir los mismos productos (el motor solo descuenta lo que está en borrador, no lo aprobado ni lo enviado que aún no llegó)</t>
        </is>
      </c>
      <c r="E161" s="53" t="inlineStr">
        <is>
          <t>Observación / defecto</t>
        </is>
      </c>
      <c r="F161" s="53" t="inlineStr">
        <is>
          <t>No iniciado</t>
        </is>
      </c>
      <c r="G161" s="53" t="inlineStr">
        <is>
          <t>Media</t>
        </is>
      </c>
      <c r="H161" s="53" t="inlineStr">
        <is>
          <t>Ensayo del 9-oct-2026 (plan 25, fase 2). Frontend: frontend/src/utils/pedir.js (sugerenciasDePedido recibe el snapshot y el resumen de borradores).</t>
        </is>
      </c>
      <c r="I161" s="53" t="inlineStr">
        <is>
          <t>El guion avisa cómo explicarlo. Decidir si las órdenes Aprobadas/Enviadas/Parcial también descuentan (y cuánto, según lo pendiente de recibir).</t>
        </is>
      </c>
      <c r="J161" s="53" t="inlineStr">
        <is>
          <t>Luis</t>
        </is>
      </c>
      <c r="K161" s="55" t="n">
        <v>46304</v>
      </c>
      <c r="L161" s="56">
        <f>IF(K161="","",TODAY()-K161)</f>
        <v/>
      </c>
    </row>
    <row r="162" ht="66.75" customHeight="1" s="35">
      <c r="A162" s="53" t="inlineStr">
        <is>
          <t>P25-10</t>
        </is>
      </c>
      <c r="B162" s="54" t="inlineStr">
        <is>
          <t>25</t>
        </is>
      </c>
      <c r="C162" s="53" t="inlineStr">
        <is>
          <t>Demostración</t>
        </is>
      </c>
      <c r="D162" s="53" t="inlineStr">
        <is>
          <t>El campo «Mensaje para el proveedor (opcional)» del detalle de la orden no se envía: el frontend manda mensaje_personalizado y el backend nunca lo lee</t>
        </is>
      </c>
      <c r="E162" s="53" t="inlineStr">
        <is>
          <t>Observación / defecto</t>
        </is>
      </c>
      <c r="F162" s="53" t="inlineStr">
        <is>
          <t>No iniciado</t>
        </is>
      </c>
      <c r="G162" s="53" t="inlineStr">
        <is>
          <t>Baja</t>
        </is>
      </c>
      <c r="H162" s="53" t="inlineStr">
        <is>
          <t>frontend/src/hooks/useProveedoresPage.js:255 lo envía; controllers/suppliersController.js (sendOrderToSupplier) no lo usa (búsqueda en controllers, routes, services y models: sin resultados).</t>
        </is>
      </c>
      <c r="I162" s="53" t="inlineStr">
        <is>
          <t>Incluirlo en el correo o quitar el campo. Relacionado con P25-06 (mismo endpoint).</t>
        </is>
      </c>
      <c r="J162" s="53" t="inlineStr">
        <is>
          <t>Agente (Claude Code)</t>
        </is>
      </c>
      <c r="K162" s="55" t="n">
        <v>46304</v>
      </c>
      <c r="L162" s="56">
        <f>IF(K162="","",TODAY()-K162)</f>
        <v/>
      </c>
    </row>
    <row r="163" ht="66.75" customHeight="1" s="35">
      <c r="A163" s="53" t="inlineStr">
        <is>
          <t>P25-11</t>
        </is>
      </c>
      <c r="B163" s="54" t="inlineStr">
        <is>
          <t>25</t>
        </is>
      </c>
      <c r="C163" s="53" t="inlineStr">
        <is>
          <t>Demostración</t>
        </is>
      </c>
      <c r="D163" s="53" t="inlineStr">
        <is>
          <t>Vista de celular (Galaxy S23, 360×780): corregir lo que se veía mal en las pantallas de la demostración sin cambiar el escritorio</t>
        </is>
      </c>
      <c r="E163" s="53" t="inlineStr">
        <is>
          <t>Observación / defecto</t>
        </is>
      </c>
      <c r="F163" s="53" t="inlineStr">
        <is>
          <t>Por verificar</t>
        </is>
      </c>
      <c r="G163" s="53" t="inlineStr">
        <is>
          <t>Media</t>
        </is>
      </c>
      <c r="H163" s="53" t="inlineStr">
        <is>
          <t>Rama fix/vista-movil-demo (9-oct-2026): 4 archivos con variantes max-sm/max-md de Tailwind (solo aplican bajo 640/768 px): carrito del POS (✕ y total salían de la tarjeta), «Completar Pago» («Transferencia» se salía), detalle de la orden (recuadros desbordados), historial de órdenes (columna Acción siempre visible) y Cartera (se oculta «Cupo asignado», acciones visibles). Escritorio verificado idéntico (posiciones y tamaños de 7 pantallas a 1280 px, antes y después).</t>
        </is>
      </c>
      <c r="I163" s="53" t="inlineStr">
        <is>
          <t>Falta: probar en un teléfono real; tablas anchas de Historial Caja, Egresos e Historial de ventas; botón flotante de «subir» que tapa campos; no revisadas: Catálogo (formulario), Perfil, Reportes, Movimientos, Comunicados, Simulador, Auditoría, Aprendizaje, Registro de tendero, Tiendas, panel /interno, Landing y Registro. Sin pruebas automáticas (el frontend no tiene infraestructura).</t>
        </is>
      </c>
      <c r="J163" s="53" t="inlineStr">
        <is>
          <t>Luis</t>
        </is>
      </c>
      <c r="K163" s="55" t="n">
        <v>46304</v>
      </c>
      <c r="L163" s="56">
        <f>IF(K163="","",TODAY()-K163)</f>
        <v/>
      </c>
    </row>
  </sheetData>
  <autoFilter ref="A4:L163"/>
  <mergeCells count="1">
    <mergeCell ref="A2:L2"/>
  </mergeCells>
  <conditionalFormatting sqref="A5:L308">
    <cfRule type="expression" rank="0" priority="2" equalAverage="0" aboveAverage="0" dxfId="14" text="" percent="0" bottom="0">
      <formula>$F5="No iniciado"</formula>
    </cfRule>
    <cfRule type="expression" rank="0" priority="3" equalAverage="0" aboveAverage="0" dxfId="15" text="" percent="0" bottom="0">
      <formula>$F5="En progreso"</formula>
    </cfRule>
    <cfRule type="expression" rank="0" priority="4" equalAverage="0" aboveAverage="0" dxfId="16" text="" percent="0" bottom="0">
      <formula>$F5="Parcial"</formula>
    </cfRule>
    <cfRule type="expression" rank="0" priority="5" equalAverage="0" aboveAverage="0" dxfId="17" text="" percent="0" bottom="0">
      <formula>$F5="Terminado"</formula>
    </cfRule>
    <cfRule type="expression" rank="0" priority="6" equalAverage="0" aboveAverage="0" dxfId="18" text="" percent="0" bottom="0">
      <formula>$F5="Bloqueado"</formula>
    </cfRule>
    <cfRule type="expression" rank="0" priority="7" equalAverage="0" aboveAverage="0" dxfId="19" text="" percent="0" bottom="0">
      <formula>$F5="Descartado"</formula>
    </cfRule>
    <cfRule type="expression" rank="0" priority="8" equalAverage="0" aboveAverage="0" dxfId="20" text="" percent="0" bottom="0">
      <formula>$F5="Por verificar"</formula>
    </cfRule>
  </conditionalFormatting>
  <conditionalFormatting sqref="G5:G308">
    <cfRule type="expression" rank="0" priority="9" equalAverage="0" aboveAverage="0" dxfId="21" text="" percent="0" bottom="0">
      <formula>AND($G5="Alta",$F5&lt;&gt;"Terminado",$F5&lt;&gt;"Descartado")</formula>
    </cfRule>
  </conditionalFormatting>
  <dataValidations count="5">
    <dataValidation sqref="F5:F308" showDropDown="0" showInputMessage="0" showErrorMessage="1" allowBlank="1" errorTitle="Valor no válido" error="Elija un valor de la lista." type="list" errorStyle="stop" operator="between">
      <formula1>"No iniciado,En progreso,Parcial,Terminado,Bloqueado,Descartado,Por verificar"</formula1>
      <formula2>0</formula2>
    </dataValidation>
    <dataValidation sqref="G5:G308" showDropDown="0" showInputMessage="0" showErrorMessage="1" allowBlank="1" errorTitle="Valor no válido" error="Elija un valor de la lista." type="list" errorStyle="stop" operator="between">
      <formula1>"Alta,Media,Baja"</formula1>
      <formula2>0</formula2>
    </dataValidation>
    <dataValidation sqref="E5:E308" showDropDown="0" showInputMessage="0" showErrorMessage="1" allowBlank="1" errorTitle="Valor no válido" error="Elija un valor de la lista." type="list" errorStyle="stop" operator="between">
      <formula1>"Pendiente del plan,Observación / defecto,Trabajo futuro,Decisión pendiente,Mantenimiento de docs"</formula1>
      <formula2>0</formula2>
    </dataValidation>
    <dataValidation sqref="J5:J308" showDropDown="0" showInputMessage="0" showErrorMessage="1" allowBlank="1" errorTitle="Valor no válido" error="Elija un valor de la lista." type="list" errorStyle="stop" operator="between">
      <formula1>"Luis,Elizabeth,Miguel,Equipo,Agente (Claude Code)"</formula1>
      <formula2>0</formula2>
    </dataValidation>
    <dataValidation sqref="K5:K308" showDropDown="0" showInputMessage="0" showErrorMessage="1" allowBlank="1" error="Escriba una fecha (dd-mm-aaaa)." type="date" errorStyle="stop" operator="greaterThan">
      <formula1>DATE(2026,1,1)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3A3F6E"/>
    <outlinePr summaryBelow="1" summaryRight="1"/>
    <pageSetUpPr fitToPage="0"/>
  </sheetPr>
  <dimension ref="A1:F50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34" min="1" max="1"/>
    <col width="10" customWidth="1" style="34" min="2" max="2"/>
    <col width="15" customWidth="1" style="34" min="3" max="4"/>
    <col width="18" customWidth="1" style="34" min="5" max="5"/>
    <col width="70" customWidth="1" style="34" min="6" max="6"/>
  </cols>
  <sheetData>
    <row r="1" ht="17.25" customHeight="1" s="35">
      <c r="A1" s="36" t="inlineStr">
        <is>
          <t>Bitácora de cambios</t>
        </is>
      </c>
    </row>
    <row r="2" ht="15" customHeight="1" s="35">
      <c r="A2" s="37" t="inlineStr">
        <is>
          <t>Una fila por cada cambio de estado. Así queda el rastro de quién movió qué y por qué.</t>
        </is>
      </c>
    </row>
    <row r="4" ht="15" customHeight="1" s="35">
      <c r="A4" s="57" t="inlineStr">
        <is>
          <t>Fecha</t>
        </is>
      </c>
      <c r="B4" s="57" t="inlineStr">
        <is>
          <t>ID</t>
        </is>
      </c>
      <c r="C4" s="57" t="inlineStr">
        <is>
          <t>Estado anterior</t>
        </is>
      </c>
      <c r="D4" s="57" t="inlineStr">
        <is>
          <t>Estado nuevo</t>
        </is>
      </c>
      <c r="E4" s="57" t="inlineStr">
        <is>
          <t>Quién</t>
        </is>
      </c>
      <c r="F4" s="57" t="inlineStr">
        <is>
          <t>Comentario / evidencia (commit, PR, captura)</t>
        </is>
      </c>
    </row>
    <row r="5" ht="23.25" customHeight="1" s="35">
      <c r="A5" s="55" t="n">
        <v>46292</v>
      </c>
      <c r="B5" s="53" t="inlineStr">
        <is>
          <t>—</t>
        </is>
      </c>
      <c r="C5" s="53" t="inlineStr">
        <is>
          <t>—</t>
        </is>
      </c>
      <c r="D5" s="53" t="inlineStr">
        <is>
          <t>—</t>
        </is>
      </c>
      <c r="E5" s="53" t="inlineStr">
        <is>
          <t>Agente (Claude Code)</t>
        </is>
      </c>
      <c r="F5" s="53" t="inlineStr">
        <is>
          <t>Creación del seguimiento: revisión de los planes 01 a 21 contra el código de main.</t>
        </is>
      </c>
    </row>
    <row r="6" ht="34.5" customHeight="1" s="35">
      <c r="A6" s="55" t="n">
        <v>46293</v>
      </c>
      <c r="B6" s="53" t="inlineStr">
        <is>
          <t>P02-01, P19, P22</t>
        </is>
      </c>
      <c r="C6" s="53" t="inlineStr">
        <is>
          <t>—</t>
        </is>
      </c>
      <c r="D6" s="53" t="inlineStr">
        <is>
          <t>No iniciado</t>
        </is>
      </c>
      <c r="E6" s="53" t="inlineStr">
        <is>
          <t>Agente (Claude Code)</t>
        </is>
      </c>
      <c r="F6" s="53" t="inlineStr">
        <is>
          <t>Plan 22 (panel interno y funciones por tienda): se agregan sus fases, dos decisiones de métricas, el hallazgo de seguridad de las rutas de tienda y el error de la columna fecha_creacion en la métrica de activación.</t>
        </is>
      </c>
    </row>
    <row r="7" ht="23.25" customHeight="1" s="35">
      <c r="A7" s="55" t="n">
        <v>46293</v>
      </c>
      <c r="B7" s="53" t="inlineStr">
        <is>
          <t>P22-06, P22-07</t>
        </is>
      </c>
      <c r="C7" s="53" t="inlineStr">
        <is>
          <t>No iniciado</t>
        </is>
      </c>
      <c r="D7" s="53" t="inlineStr">
        <is>
          <t>Terminado</t>
        </is>
      </c>
      <c r="E7" s="53" t="inlineStr">
        <is>
          <t>Luis</t>
        </is>
      </c>
      <c r="F7" s="53" t="inlineStr">
        <is>
          <t>Decisiones de métricas: activación = al menos 20 productos y ventas en 5 de los primeros 7 días; los días de apertura se preguntan en el registro.</t>
        </is>
      </c>
    </row>
    <row r="8" ht="68.25" customHeight="1" s="35">
      <c r="A8" s="55" t="n">
        <v>46293</v>
      </c>
      <c r="B8" s="53" t="inlineStr">
        <is>
          <t>P21-01, P22-01, P21-09 a P21-13, P22-09, P22-10</t>
        </is>
      </c>
      <c r="C8" s="53" t="inlineStr">
        <is>
          <t>No iniciado</t>
        </is>
      </c>
      <c r="D8" s="53" t="inlineStr">
        <is>
          <t>Por verificar</t>
        </is>
      </c>
      <c r="E8" s="53" t="inlineStr">
        <is>
          <t>Agente (Claude Code)</t>
        </is>
      </c>
      <c r="F8" s="53" t="inlineStr">
        <is>
          <t>R0 del plan 21 terminado en la rama test/plan21-r0-caracterizacion (48 pruebas, sin cambios de producción, sin merge). I0 pasa a En progreso y se amplía a auditoría de autorización. Se agregan los hallazgos de R0: egresos entre tiendas, verify-reset-code sin limitador, recepción sin tope, contadores compartidos en las pruebas (resuelto en la rama), código muerto en bulkUpload y skip inerte de globalLimiter.</t>
        </is>
      </c>
    </row>
    <row r="9" ht="68.25" customHeight="1" s="35">
      <c r="A9" s="55" t="n">
        <v>46293</v>
      </c>
      <c r="B9" s="53" t="inlineStr">
        <is>
          <t>P21-01, P21-11, P22-09, P22-10 y hallazgos de I0</t>
        </is>
      </c>
      <c r="C9" s="53" t="inlineStr">
        <is>
          <t>Por verificar / No iniciado</t>
        </is>
      </c>
      <c r="D9" s="53" t="inlineStr">
        <is>
          <t>Terminado</t>
        </is>
      </c>
      <c r="E9" s="53" t="inlineStr">
        <is>
          <t>Agente (Claude Code)</t>
        </is>
      </c>
      <c r="F9" s="53" t="inlineStr">
        <is>
          <t>Mezclados y subidos el 28-sep: R0, P22-09 con regla de estados, rutas de tienda, eliminación de la semilla en producción y C1 a C3. Matriz de roles decidida (D1 a D4 = solo Administrador).</t>
        </is>
      </c>
    </row>
    <row r="10" ht="45.75" customHeight="1" s="35">
      <c r="A10" s="55" t="n">
        <v>46298</v>
      </c>
      <c r="B10" s="53" t="inlineStr">
        <is>
          <t>P22-01, C6, C7, P19 (respaldos)</t>
        </is>
      </c>
      <c r="C10" s="53" t="inlineStr">
        <is>
          <t>En progreso / No iniciado</t>
        </is>
      </c>
      <c r="D10" s="53" t="inlineStr">
        <is>
          <t>Terminado</t>
        </is>
      </c>
      <c r="E10" s="53" t="inlineStr">
        <is>
          <t>Agente (Claude Code)</t>
        </is>
      </c>
      <c r="F10" s="53" t="inlineStr">
        <is>
          <t>Mezclados y subidos el 3-oct: C6, I0 completo (incluye C7) y respaldo externo en GitHub Actions (postgres:18). Restauración verificada, según Luis.</t>
        </is>
      </c>
    </row>
    <row r="11" ht="57" customHeight="1" s="35">
      <c r="A11" s="55" t="n">
        <v>46298</v>
      </c>
      <c r="B11" s="53" t="inlineStr">
        <is>
          <t>P07, P19 (modo básico), P21-R1/R3/T, P22-I3</t>
        </is>
      </c>
      <c r="C11" s="53" t="inlineStr">
        <is>
          <t>—</t>
        </is>
      </c>
      <c r="D11" s="53" t="inlineStr">
        <is>
          <t>—</t>
        </is>
      </c>
      <c r="E11" s="53" t="inlineStr">
        <is>
          <t>Luis</t>
        </is>
      </c>
      <c r="F11" s="53" t="inlineStr">
        <is>
          <t>La app nativa del Tendero se adelanta para la visita a las tiendas piloto (semana del 5-oct). Repositorio aparte, Android primero. Nuevo orden en el plan 22, sección 5.</t>
        </is>
      </c>
    </row>
    <row r="12" ht="15" customHeight="1" s="35">
      <c r="A12" s="55" t="n">
        <v>46301</v>
      </c>
      <c r="B12" s="34" t="inlineStr">
        <is>
          <t>P07-01, P07-02, P07-03, P19-06, P19-07, P21-04, P21-09, P21-13, P21-14, P22-04, P22-05</t>
        </is>
      </c>
      <c r="C12" s="34" t="inlineStr">
        <is>
          <t>—</t>
        </is>
      </c>
      <c r="D12" s="34" t="inlineStr">
        <is>
          <t>—</t>
        </is>
      </c>
      <c r="E12" s="34" t="inlineStr">
        <is>
          <t>Luis</t>
        </is>
      </c>
      <c r="F12" s="34" t="inlineStr">
        <is>
          <t>Cambio de rumbo (6-oct): el piloto y la visita van con la web en modo básico (plan 19, 3.4, fases A, B y C; /pedir solo Administrador); la app nativa sigue en paralelo y se presenta en la sustentación (nov.). Panel (I1, I2, I4) antes del piloto, con encuesta de satisfacción. Revierte la decisión del 3-oct. Además, P07-02, P21-09, P21-13 y P21-14 pasan a Terminado: ya están en main (merge cb028d9, verificado con git log).</t>
        </is>
      </c>
    </row>
    <row r="13" ht="15" customHeight="1" s="35">
      <c r="A13" s="55" t="n">
        <v>46301</v>
      </c>
      <c r="B13" s="34" t="inlineStr">
        <is>
          <t>P19-06, P11-02, P23-01 a P23-09</t>
        </is>
      </c>
      <c r="C13" s="34" t="inlineStr">
        <is>
          <t>—</t>
        </is>
      </c>
      <c r="D13" s="34" t="inlineStr">
        <is>
          <t>—</t>
        </is>
      </c>
      <c r="E13" s="34" t="inlineStr">
        <is>
          <t>Luis</t>
        </is>
      </c>
      <c r="F13" s="34" t="inlineStr">
        <is>
          <t>Decisiones del 6-oct: la IA va disponible pero opcional (oculta en el modo básico); se invertirá en corregir el evaluador y medir, contexto real al ajuste y lectura de facturas (plan 23); privacidad primero. Modo básico A, B y C implementado en la rama feat/modo-basico-web (subida). Arreglo de privacidad de Cartera (afddd1d) terminado. Rama del backend y 4 ramas de la app subidas; main sin tocar.</t>
        </is>
      </c>
    </row>
    <row r="14" ht="15" customHeight="1" s="35">
      <c r="A14" s="55" t="n">
        <v>46301</v>
      </c>
      <c r="B14" s="34" t="inlineStr">
        <is>
          <t>P23-08</t>
        </is>
      </c>
      <c r="C14" s="34" t="inlineStr">
        <is>
          <t>No iniciado</t>
        </is>
      </c>
      <c r="D14" s="34" t="inlineStr">
        <is>
          <t>En progreso</t>
        </is>
      </c>
      <c r="E14" s="34" t="inlineStr">
        <is>
          <t>Agente (Claude Code)</t>
        </is>
      </c>
      <c r="F14" s="34" t="inlineStr">
        <is>
          <t>Borrador de las secciones corregidas sobre el alcance de la IA, con el formato del documento «Secciones corregidas v2»: Documentacion/StockPilot_Secciones_corregidas_sobre_la_IA.docx (21 recuadros de instrucción, 4 tablas). Pendiente de que Luis lo aplique.</t>
        </is>
      </c>
    </row>
    <row r="15" ht="15" customHeight="1" s="35">
      <c r="A15" s="55" t="n">
        <v>46301</v>
      </c>
      <c r="B15" s="34" t="inlineStr">
        <is>
          <t>P23-08</t>
        </is>
      </c>
      <c r="C15" s="34" t="inlineStr">
        <is>
          <t>En progreso</t>
        </is>
      </c>
      <c r="D15" s="34" t="inlineStr">
        <is>
          <t>En progreso</t>
        </is>
      </c>
      <c r="E15" s="34" t="inlineStr">
        <is>
          <t>Agente (Claude Code)</t>
        </is>
      </c>
      <c r="F15" s="34" t="inlineStr">
        <is>
          <t>Se consolidó todo en Documentacion/Revision_Documento_Practica_5_v2.docx (24 páginas en Word, 10 tablas): revisión del 26-sep actualizada al 6-oct (pruebas 287 + 407, 28,2 KLOC, escáner, rol «Colaborador»), reglas de alertas, textos de la IA, novedades y correcciones a Plan de Negocio, Intervención y Herramientas. Se retira el borrador anterior «Secciones corregidas sobre la IA».</t>
        </is>
      </c>
    </row>
    <row r="16" ht="15" customHeight="1" s="35">
      <c r="A16" s="55" t="n">
        <v>46303</v>
      </c>
      <c r="B16" s="34" t="inlineStr">
        <is>
          <t>P21-02, P21-17 a P21-22</t>
        </is>
      </c>
      <c r="C16" s="34" t="inlineStr">
        <is>
          <t>No iniciado / —</t>
        </is>
      </c>
      <c r="D16" s="34" t="inlineStr">
        <is>
          <t>Por verificar / No iniciado</t>
        </is>
      </c>
      <c r="E16" s="34" t="inlineStr">
        <is>
          <t>Agente (Claude Code)</t>
        </is>
      </c>
      <c r="F16" s="34" t="inlineStr">
        <is>
          <t>R1 del plan 21 hecha en la rama refactor/R1-servicios-ia (6 commits, sin mezclar a main): aiController 901 → 152 líneas, cliente único de OpenAI, services/ia con 14 módulos. 365 unitarias + 431 de integración en verde (796 en el reporte); cobertura combinada 73,5 %. Hallazgos nuevos P21-17 a P21-22: reporte de pruebas en carpeta inexistente (corregido en la rama), ruta vieja en CLAUDE.md, umbrales de cobertura por subir (decisión de Luis), zonas con poca cobertura.</t>
        </is>
      </c>
    </row>
    <row r="17" ht="15" customHeight="1" s="35">
      <c r="A17" s="55" t="n">
        <v>46303</v>
      </c>
      <c r="B17" s="34" t="inlineStr">
        <is>
          <t>P21-02, P21-17, P21-18, P21-20</t>
        </is>
      </c>
      <c r="C17" s="34" t="inlineStr">
        <is>
          <t>Por verificar / No iniciado</t>
        </is>
      </c>
      <c r="D17" s="34" t="inlineStr">
        <is>
          <t>Terminado</t>
        </is>
      </c>
      <c r="E17" s="34" t="inlineStr">
        <is>
          <t>Luis</t>
        </is>
      </c>
      <c r="F17" s="34" t="inlineStr">
        <is>
          <t>Luis aprueba R1 y manda mezclarla (8-oct): merge --no-ff a main local; la rama refactor/R1-servicios-ia se sube como evidencia. Aprueba también subir los umbrales de cobertura (17/23/32/15) y corregir la ruta vieja del CLAUDE.md. origin/main no se actualiza todavía: main local lleva 5 commits previos sin subir (incluido el 2FA en CRUD, ec4d48c) y no se sabe si subir main despliega durante el congelamiento. Regla de Luis: cada plan nuevo debe quedar subido, es la evidencia del desarrollo.</t>
        </is>
      </c>
    </row>
    <row r="18" ht="15" customHeight="1" s="35">
      <c r="A18" s="55" t="n">
        <v>46303</v>
      </c>
      <c r="B18" s="34" t="inlineStr">
        <is>
          <t>P21-02, P21-17, P21-18, P21-20</t>
        </is>
      </c>
      <c r="C18" s="34" t="inlineStr">
        <is>
          <t>Terminado</t>
        </is>
      </c>
      <c r="D18" s="34" t="inlineStr">
        <is>
          <t>Terminado</t>
        </is>
      </c>
      <c r="E18" s="34" t="inlineStr">
        <is>
          <t>Luis</t>
        </is>
      </c>
      <c r="F18" s="34" t="inlineStr">
        <is>
          <t>Luis autoriza subir a producción (8-oct): la visita a las tiendas aún no ocurre. Se sube main a origin con R1 y con 5 commits previos que estaban sin subir (incluido el 2FA en CRUD, ec4d48c). Se corrige lo anotado antes: ya no queda origin/main pendiente. El congelamiento del piloto rige desde su arranque.</t>
        </is>
      </c>
    </row>
    <row r="19" ht="15" customHeight="1" s="35">
      <c r="A19" s="55" t="n">
        <v>46303</v>
      </c>
      <c r="B19" s="34" t="inlineStr">
        <is>
          <t>P21-23 a P21-28</t>
        </is>
      </c>
      <c r="C19" s="34" t="inlineStr">
        <is>
          <t>—</t>
        </is>
      </c>
      <c r="D19" s="34" t="inlineStr">
        <is>
          <t>Por verificar / No iniciado</t>
        </is>
      </c>
      <c r="E19" s="34" t="inlineStr">
        <is>
          <t>Luis</t>
        </is>
      </c>
      <c r="F19" s="34" t="inlineStr">
        <is>
          <t>Revisión del 2FA del commit ec4d48c: era solo frontend. Luis decide que en el piloto el 2FA se informa pero no se exige, y aprueba mover el control al servidor como política apagada por defecto (REQUIRE_ADMIN_2FA). Rama feat/2fa-politica-servidor (política en el servidor, 409 en generate2FA, limitador, aviso en el frontend). Pendiente: mezclar a main, códigos de recuperación antes de encender la política.</t>
        </is>
      </c>
    </row>
    <row r="20" ht="15" customHeight="1" s="35">
      <c r="A20" s="55" t="n">
        <v>46303</v>
      </c>
      <c r="B20" s="34" t="inlineStr">
        <is>
          <t>P22-02, P22-03, P22-05, P22-19 a P22-23, P21-29</t>
        </is>
      </c>
      <c r="C20" s="34" t="inlineStr">
        <is>
          <t>No iniciado</t>
        </is>
      </c>
      <c r="D20" s="34" t="inlineStr">
        <is>
          <t>Por verificar / Parcial / No iniciado</t>
        </is>
      </c>
      <c r="E20" s="34" t="inlineStr">
        <is>
          <t>Luis</t>
        </is>
      </c>
      <c r="F20" s="34" t="inlineStr">
        <is>
          <t>Luis pide implementar las métricas de la pantalla del superusuario para medir las tiendas del piloto, «o al menos la única que acepte usarla». Implementados I1, I2 y la pantalla de embudo en la rama feat/panel-interno-metricas (esquema interno, cuentas del equipo con 2FA por script, vistas, Tiendas/Detalle/Embudo/Bitácora); funciona con una sola tienda. Pendientes de Luis: 3 definiciones propuestas (P22-20, P22-21), el párrafo legal de la política de datos (P22-23) y crear las cuentas en producción (P22-22). Queda de I4: preguntas del registro y encuesta.</t>
        </is>
      </c>
    </row>
    <row r="21" ht="66.75" customHeight="1" s="35">
      <c r="A21" s="55" t="n">
        <v>46304</v>
      </c>
      <c r="B21" s="34" t="inlineStr">
        <is>
          <t>P19-06, P23-09, P21-10, P21-23, P21-24, P21-25, P22-15, P10-04, P02-01, P16-02</t>
        </is>
      </c>
      <c r="C21" s="34" t="inlineStr">
        <is>
          <t>Por verificar / No iniciado</t>
        </is>
      </c>
      <c r="D21" s="34" t="inlineStr">
        <is>
          <t>Terminado (P19-06: Por verificar)</t>
        </is>
      </c>
      <c r="E21" s="34" t="inlineStr">
        <is>
          <t>Agente (Claude Code)</t>
        </is>
      </c>
      <c r="F21" s="34" t="inlineStr">
        <is>
          <t>Revisión del seguimiento contra el historial de git (reflog de main y de origin/main). Estas filas ya estaban mezcladas y subidas; Luis aclara que los planes no se actualizaron porque las ramas se hicieron en sesiones de prueba con otros agentes. Merges: modo básico 02f7ecc (6-oct), 2FA en el servidor 5faab39 (8-oct), recepción df20caa (4-oct), C4 en cb028d9 (3-oct).</t>
        </is>
      </c>
    </row>
    <row r="22" ht="54" customHeight="1" s="35">
      <c r="A22" s="55" t="n">
        <v>46304</v>
      </c>
      <c r="B22" s="34" t="inlineStr">
        <is>
          <t>—</t>
        </is>
      </c>
      <c r="C22" s="34" t="inlineStr">
        <is>
          <t>—</t>
        </is>
      </c>
      <c r="D22" s="34" t="inlineStr">
        <is>
          <t>—</t>
        </is>
      </c>
      <c r="E22" s="34" t="inlineStr">
        <is>
          <t>Agente (Claude Code)</t>
        </is>
      </c>
      <c r="F22" s="34" t="inlineStr">
        <is>
          <t>Corrección de la entrada del 6-oct: decía «main sin tocar», pero feat/modo-basico-web se mezcló a main a las 10:55 (02f7ecc) y se subió a origin a las 11:00. La migración config/migraciones/modoInterfaz.js deja las cuentas existentes en «avanzado», así que el menú no cambió de golpe.</t>
        </is>
      </c>
    </row>
    <row r="23" ht="30" customHeight="1" s="35">
      <c r="A23" s="55" t="n">
        <v>46304</v>
      </c>
      <c r="B23" s="34" t="inlineStr">
        <is>
          <t>P13-01</t>
        </is>
      </c>
      <c r="C23" s="34" t="inlineStr">
        <is>
          <t>Parcial</t>
        </is>
      </c>
      <c r="D23" s="34" t="inlineStr">
        <is>
          <t>Parcial</t>
        </is>
      </c>
      <c r="E23" s="34" t="inlineStr">
        <is>
          <t>Agente (Claude Code)</t>
        </is>
      </c>
      <c r="F23" s="34" t="inlineStr">
        <is>
          <t>Prioridad Media → Alta: con el estado «Parcial», PATCH /api/ordenes/:id/estado permite devolver una orden «Completada» y volver a recibirla.</t>
        </is>
      </c>
    </row>
    <row r="24" ht="54" customHeight="1" s="35">
      <c r="A24" s="55" t="n">
        <v>46304</v>
      </c>
      <c r="B24" s="34" t="inlineStr">
        <is>
          <t>P04-06, P19-11, P21-30, P22-24, P22-25, P22-26</t>
        </is>
      </c>
      <c r="C24" s="34" t="inlineStr">
        <is>
          <t>—</t>
        </is>
      </c>
      <c r="D24" s="34" t="inlineStr">
        <is>
          <t>No iniciado / Por verificar</t>
        </is>
      </c>
      <c r="E24" s="34" t="inlineStr">
        <is>
          <t>Agente (Claude Code)</t>
        </is>
      </c>
      <c r="F24" s="34" t="inlineStr">
        <is>
          <t>Filas nuevas de la revisión de los 23 planes: tiquete POS y DIAN, Colaboradores y Cartera fuera del modo básico, tareas programadas en Render gratuito, limpieza de admin/admin123, entorno aparte de la app y medición de la exactitud de inventario.</t>
        </is>
      </c>
    </row>
    <row r="25" ht="54" customHeight="1" s="35">
      <c r="A25" s="55" t="n">
        <v>46304</v>
      </c>
      <c r="B25" s="34" t="inlineStr">
        <is>
          <t>P24-01 a P24-07</t>
        </is>
      </c>
      <c r="C25" s="34" t="inlineStr">
        <is>
          <t>—</t>
        </is>
      </c>
      <c r="D25" s="34" t="inlineStr">
        <is>
          <t>Terminado / No iniciado</t>
        </is>
      </c>
      <c r="E25" s="34" t="inlineStr">
        <is>
          <t>Agente (Claude Code)</t>
        </is>
      </c>
      <c r="F25" s="34" t="inlineStr">
        <is>
          <t>Plan 24 nuevo: registra el trabajo del 3 al 6-oct que no tenía plan (correcciones del contrato, idempotencia, candado de sesión, arqueo previo y desglose por método, historial de caja solo del Administrador) y dos pendientes que salen de ahí.</t>
        </is>
      </c>
    </row>
    <row r="26" ht="41.25" customHeight="1" s="35">
      <c r="A26" s="55" t="n">
        <v>46304</v>
      </c>
      <c r="B26" s="34" t="inlineStr">
        <is>
          <t>P22-08, P19-01, P18-02, P20-06</t>
        </is>
      </c>
      <c r="C26" s="34" t="inlineStr">
        <is>
          <t>Decisión pendiente / Parcial / No iniciado</t>
        </is>
      </c>
      <c r="D26" s="34" t="inlineStr">
        <is>
          <t>Terminado / Descartado</t>
        </is>
      </c>
      <c r="E26" s="34" t="inlineStr">
        <is>
          <t>Agente (Claude Code)</t>
        </is>
      </c>
      <c r="F26" s="34" t="inlineStr">
        <is>
          <t>P22-08 ya estaba decidido el 8-oct. P19-01 queda reemplazado por el respaldo de GitHub Actions (P19-02). Encabezados de los planes 04 a 23 y referencias a Documentacion/ actualizados.</t>
        </is>
      </c>
    </row>
    <row r="27" ht="15" customHeight="1" s="35">
      <c r="A27" s="55" t="n">
        <v>46304</v>
      </c>
      <c r="B27" s="34" t="inlineStr">
        <is>
          <t>P22-20, P22-21</t>
        </is>
      </c>
      <c r="C27" s="34" t="inlineStr">
        <is>
          <t>No iniciado</t>
        </is>
      </c>
      <c r="D27" s="34" t="inlineStr">
        <is>
          <t>Terminado</t>
        </is>
      </c>
      <c r="E27" s="34" t="inlineStr">
        <is>
          <t>Luis</t>
        </is>
      </c>
      <c r="F27" s="34" t="inlineStr">
        <is>
          <t>Luis confirma el 9-oct las definiciones propuestas del panel: umbral «regular» 50 %, «con uso en la semana 4» = al menos 1 día con ventas entre los días 22 y 28, y «productos cargados» = total de la tienda. Commit 334ad7f.</t>
        </is>
      </c>
    </row>
    <row r="28" ht="15" customHeight="1" s="35">
      <c r="A28" s="55" t="n">
        <v>46304</v>
      </c>
      <c r="B28" s="34" t="inlineStr">
        <is>
          <t>P22-23</t>
        </is>
      </c>
      <c r="C28" s="34" t="inlineStr">
        <is>
          <t>No iniciado</t>
        </is>
      </c>
      <c r="D28" s="34" t="inlineStr">
        <is>
          <t>Por verificar</t>
        </is>
      </c>
      <c r="E28" s="34" t="inlineStr">
        <is>
          <t>Luis</t>
        </is>
      </c>
      <c r="F28" s="34" t="inlineStr">
        <is>
          <t>Luis aprueba el párrafo de la política de datos tal cual (9-oct). Agregado a /politica-datos con una prueba que fija el texto (334ad7f). En main y subido: merge ba5ef05 de feat/panel-interno-metricas (--no-ff, hecho en un worktree temporal para no tocar cambios sin commitear) y push de main y de la rama. Falta comprobar la página en producción tras el despliegue de Render y la línea «Auto-migration … actualizados exitosamente» en los logs. Suites antes del merge: 414 unitarias y 550 de integración en verde.</t>
        </is>
      </c>
    </row>
    <row r="29" ht="15" customHeight="1" s="35">
      <c r="A29" s="55" t="n">
        <v>46304</v>
      </c>
      <c r="B29" s="34" t="inlineStr">
        <is>
          <t>P25-01 a P25-07</t>
        </is>
      </c>
      <c r="C29" s="34" t="inlineStr">
        <is>
          <t>—</t>
        </is>
      </c>
      <c r="D29" s="34" t="inlineStr">
        <is>
          <t>No iniciado</t>
        </is>
      </c>
      <c r="E29" s="34" t="inlineStr">
        <is>
          <t>Agente (Claude Code)</t>
        </is>
      </c>
      <c r="F29" s="34" t="inlineStr">
        <is>
          <t>Plan 25 nuevo (tienda de demostración para la visita). Luis preguntó si algún plan la cubría: el plan 22 la nombra (sección 5, A.2) pero no la diseña. Cuatro decisiones pendientes de Luis (dónde vive, alcance, correo, IA); hallazgo C8 (enviar-proveedor sin filtro de tienda, P25-06).</t>
        </is>
      </c>
    </row>
    <row r="30" ht="15" customHeight="1" s="35">
      <c r="A30" s="55" t="n">
        <v>46304</v>
      </c>
      <c r="B30" s="34" t="inlineStr">
        <is>
          <t>P25-01, P25-02, P25-03</t>
        </is>
      </c>
      <c r="C30" s="34" t="inlineStr">
        <is>
          <t>No iniciado</t>
        </is>
      </c>
      <c r="D30" s="34" t="inlineStr">
        <is>
          <t>Terminado</t>
        </is>
      </c>
      <c r="E30" s="34" t="inlineStr">
        <is>
          <t>Luis</t>
        </is>
      </c>
      <c r="F30" s="34" t="inlineStr">
        <is>
          <t>Luis decide el 9-oct: D1 = A (local), D2 = B (con cartera y caja, solo cuenta de Administrador), D3 = B (correo al buzón de Luis, PDF de plan B), D4 = sin Consejero IA, y datos reproducibles. Propone retirar el seed actual (queda como P25-08).</t>
        </is>
      </c>
    </row>
    <row r="31" ht="15" customHeight="1" s="35">
      <c r="A31" s="55" t="n">
        <v>46304</v>
      </c>
      <c r="B31" s="34" t="inlineStr">
        <is>
          <t>P25-04, P25-05, P25-06, P25-08</t>
        </is>
      </c>
      <c r="C31" s="34" t="inlineStr">
        <is>
          <t>—</t>
        </is>
      </c>
      <c r="D31" s="34" t="inlineStr">
        <is>
          <t>No iniciado</t>
        </is>
      </c>
      <c r="E31" s="34" t="inlineStr">
        <is>
          <t>Agente (Claude Code)</t>
        </is>
      </c>
      <c r="F31" s="34" t="inlineStr">
        <is>
          <t>Revisión del plan 25 (/review-plan): se aplican al plan las correcciones comprobadas contra el código (comando de siembra y guardia, qué base se vacía, mutaciones invertidas, caja obligatoria para vender, días de stock con velocity_30d, frontend solo con Vite, id_propietario autoasignado, línea 539 sin filtro de tienda). Nuevas decisiones D5, D6 y D7 pendientes de Luis (P25-08 y severidad de P25-06).</t>
        </is>
      </c>
    </row>
    <row r="32" ht="15" customHeight="1" s="35">
      <c r="A32" s="55" t="n">
        <v>46304</v>
      </c>
      <c r="B32" s="34" t="inlineStr">
        <is>
          <t>P25-06, P25-08</t>
        </is>
      </c>
      <c r="C32" s="34" t="inlineStr">
        <is>
          <t>No iniciado</t>
        </is>
      </c>
      <c r="D32" s="34" t="inlineStr">
        <is>
          <t>Terminado (P25-06: No iniciado, ahora Alta)</t>
        </is>
      </c>
      <c r="E32" s="34" t="inlineStr">
        <is>
          <t>Luis</t>
        </is>
      </c>
      <c r="F32" s="34" t="inlineStr">
        <is>
          <t>Luis decide el 9-oct: D5 = conservar seed_test_data.js intacto; D6 = P25-06 prioridad Alta antes del piloto; D7 = commit solo de docs en la rama actual (sin push). El plan 25 queda sin decisiones pendientes para la fase 1.</t>
        </is>
      </c>
    </row>
    <row r="33" ht="15" customHeight="1" s="35">
      <c r="A33" s="55" t="n">
        <v>46304</v>
      </c>
      <c r="B33" s="34" t="inlineStr">
        <is>
          <t>P25-04, P25-05</t>
        </is>
      </c>
      <c r="C33" s="34" t="inlineStr">
        <is>
          <t>No iniciado</t>
        </is>
      </c>
      <c r="D33" s="34" t="inlineStr">
        <is>
          <t>Terminado / No iniciado</t>
        </is>
      </c>
      <c r="E33" s="34" t="inlineStr">
        <is>
          <t>Agente (Claude Code)</t>
        </is>
      </c>
      <c r="F33" s="34" t="inlineStr">
        <is>
          <t>Fase 1 del plan 25 hecha en feat/tienda-demo (escenario puro, siembra con guardia _demo, 49 pruebas nuevas entre unitarias e integración, mutaciones y recorrido manual en el navegador). Suites completas: 444 unitarias y 569 de integración en verde. Ajuste: los pedidos de la demo llevan productos distintos de los que /pedir sugiere. Sin push.</t>
        </is>
      </c>
    </row>
    <row r="34" ht="15" customHeight="1" s="35">
      <c r="A34" s="55" t="n">
        <v>46304</v>
      </c>
      <c r="B34" s="34" t="inlineStr">
        <is>
          <t>P22-27, P22-22</t>
        </is>
      </c>
      <c r="C34" s="34" t="inlineStr">
        <is>
          <t>—</t>
        </is>
      </c>
      <c r="D34" s="34" t="inlineStr">
        <is>
          <t>Por verificar / No iniciado</t>
        </is>
      </c>
      <c r="E34" s="34" t="inlineStr">
        <is>
          <t>Agente (Claude Code)</t>
        </is>
      </c>
      <c r="F34" s="34" t="inlineStr">
        <is>
          <t>Luis ejecutó npm run equipo:crear y la pantalla parecía detenida en «Usuario». Causa: en Node 24 rl._writeToOutput no existe, así que el eco no se silenciaba y el aviso de la contraseña se borraba. Corregido en fix/equipo-crear-aviso-contrasena (d176576, sin push) con una prueba de readline real; verificado por tubería, falta confirmarlo en la terminal de Luis. P22-22 espera esa mezcla.</t>
        </is>
      </c>
    </row>
    <row r="35" ht="15" customHeight="1" s="35">
      <c r="A35" s="55" t="n">
        <v>46304</v>
      </c>
      <c r="B35" s="34" t="inlineStr">
        <is>
          <t>P17-04, P17-05, P17-06</t>
        </is>
      </c>
      <c r="C35" s="34" t="inlineStr">
        <is>
          <t>—</t>
        </is>
      </c>
      <c r="D35" s="34" t="inlineStr">
        <is>
          <t>Por verificar / No iniciado</t>
        </is>
      </c>
      <c r="E35" s="34" t="inlineStr">
        <is>
          <t>Agente (Claude Code)</t>
        </is>
      </c>
      <c r="F35" s="34" t="inlineStr">
        <is>
          <t>Luis notó que la campanita mostraba 5 alertas con «+9», el Dashboard 4 urgentes y los 6 elementos de abajo (tarjetas del Consejero IA, no alertas). Causas: la campanita pedía limit=5 y solo salían críticas; las tarjetas del Monitor contaban por tipo y los filtros por severidad. Corregido solo en web en fix/campanita-alertas-coherentes (960d7c6, sin push; 426 unitarias y 553 de integración en verde). Luis decide después si se adopta la regla única por severidad (P17-05).</t>
        </is>
      </c>
    </row>
    <row r="36" ht="15" customHeight="1" s="35">
      <c r="A36" s="55" t="n">
        <v>46304</v>
      </c>
      <c r="B36" s="34" t="inlineStr">
        <is>
          <t>P17-05, P17-07</t>
        </is>
      </c>
      <c r="C36" s="34" t="inlineStr">
        <is>
          <t>No iniciado</t>
        </is>
      </c>
      <c r="D36" s="34" t="inlineStr">
        <is>
          <t>Por verificar / No iniciado</t>
        </is>
      </c>
      <c r="E36" s="34" t="inlineStr">
        <is>
          <t>Luis</t>
        </is>
      </c>
      <c r="F36" s="34" t="inlineStr">
        <is>
          <t>Luis decide la regla por severidad: todas las críticas juntas (stock y vencimiento), las amarillas juntas, con separadores por tipo en el Monitor; la campanita ya distingue por ícono (caja o calendario). Implementado en API y web (models/Alert.js, utils/alertas.js, Monitor, Dashboard), contrato [A1] y plan 17 actualizados; 20 + 5 pruebas nuevas. Falta avisar al equipo de la app (P17-07) y que Luis lo verifique en su pantalla.</t>
        </is>
      </c>
    </row>
    <row r="37" ht="15" customHeight="1" s="35">
      <c r="A37" s="55" t="n">
        <v>46304</v>
      </c>
      <c r="B37" s="34" t="inlineStr">
        <is>
          <t>P25-05, P25-09, P25-10</t>
        </is>
      </c>
      <c r="C37" s="34" t="inlineStr">
        <is>
          <t>No iniciado</t>
        </is>
      </c>
      <c r="D37" s="34" t="inlineStr">
        <is>
          <t>Parcial / No iniciado</t>
        </is>
      </c>
      <c r="E37" s="34" t="inlineStr">
        <is>
          <t>Agente (Claude Code)</t>
        </is>
      </c>
      <c r="F37" s="34" t="inlineStr">
        <is>
          <t>Fase 2 del plan 25: guion de la visita (docs/guion_demo_tienda.md) y ensayo técnico en el navegador sobre una base temporal. Hallazgos: «Por pedir» vuelve a sugerir lo ya aprobado (P25-09) y el mensaje opcional al proveedor no se envía (P25-10). Falta el ensayo cronometrado por otra persona, el correo real y el celular.</t>
        </is>
      </c>
    </row>
    <row r="38" ht="15" customHeight="1" s="35">
      <c r="A38" s="55" t="n">
        <v>46304</v>
      </c>
      <c r="B38" s="34" t="inlineStr">
        <is>
          <t>P25-11</t>
        </is>
      </c>
      <c r="C38" s="34" t="inlineStr">
        <is>
          <t>—</t>
        </is>
      </c>
      <c r="D38" s="34" t="inlineStr">
        <is>
          <t>Por verificar</t>
        </is>
      </c>
      <c r="E38" s="34" t="inlineStr">
        <is>
          <t>Agente (Claude Code)</t>
        </is>
      </c>
      <c r="F38" s="34" t="inlineStr">
        <is>
          <t>Luis pide probar la demostración en la vista de un Samsung Galaxy S23 y corregir lo que se veía mal sin romper el escritorio. Recorrido de las pantallas del guion a 360×780: 5 correcciones solo móviles (rama fix/vista-movil-demo, sin push a main) y comparación de 7 pantallas de escritorio antes y después sin diferencias de posición ni tamaño. Pendiente: teléfono real y las pantallas no revisadas (P25-11).</t>
        </is>
      </c>
    </row>
    <row r="39" ht="15" customHeight="1" s="35">
      <c r="C39" s="34" t="n"/>
      <c r="D39" s="34" t="n"/>
      <c r="E39" s="34" t="n"/>
    </row>
    <row r="40" ht="15" customHeight="1" s="35">
      <c r="C40" s="34" t="n"/>
      <c r="D40" s="34" t="n"/>
      <c r="E40" s="34" t="n"/>
    </row>
    <row r="41" ht="15" customHeight="1" s="35">
      <c r="C41" s="34" t="n"/>
      <c r="D41" s="34" t="n"/>
      <c r="E41" s="34" t="n"/>
    </row>
    <row r="42" ht="15" customHeight="1" s="35">
      <c r="C42" s="34" t="n"/>
      <c r="D42" s="34" t="n"/>
      <c r="E42" s="34" t="n"/>
    </row>
    <row r="43" ht="15" customHeight="1" s="35">
      <c r="C43" s="34" t="n"/>
      <c r="D43" s="34" t="n"/>
      <c r="E43" s="34" t="n"/>
    </row>
    <row r="44" ht="15" customHeight="1" s="35">
      <c r="C44" s="34" t="n"/>
      <c r="D44" s="34" t="n"/>
      <c r="E44" s="34" t="n"/>
    </row>
    <row r="45" ht="15" customHeight="1" s="35">
      <c r="C45" s="34" t="n"/>
      <c r="D45" s="34" t="n"/>
      <c r="E45" s="34" t="n"/>
    </row>
    <row r="46" ht="15" customHeight="1" s="35">
      <c r="C46" s="34" t="n"/>
      <c r="D46" s="34" t="n"/>
      <c r="E46" s="34" t="n"/>
    </row>
    <row r="47" ht="15" customHeight="1" s="35">
      <c r="C47" s="34" t="n"/>
      <c r="D47" s="34" t="n"/>
      <c r="E47" s="34" t="n"/>
    </row>
    <row r="48" ht="15" customHeight="1" s="35">
      <c r="C48" s="34" t="n"/>
      <c r="D48" s="34" t="n"/>
      <c r="E48" s="34" t="n"/>
    </row>
    <row r="49" ht="15" customHeight="1" s="35">
      <c r="C49" s="34" t="n"/>
      <c r="D49" s="34" t="n"/>
      <c r="E49" s="34" t="n"/>
    </row>
    <row r="50" ht="15" customHeight="1" s="35">
      <c r="C50" s="34" t="n"/>
      <c r="D50" s="34" t="n"/>
      <c r="E50" s="34" t="n"/>
    </row>
    <row r="51" ht="15" customHeight="1" s="35">
      <c r="C51" s="34" t="n"/>
      <c r="D51" s="34" t="n"/>
      <c r="E51" s="34" t="n"/>
    </row>
    <row r="52" ht="15" customHeight="1" s="35">
      <c r="C52" s="34" t="n"/>
      <c r="D52" s="34" t="n"/>
      <c r="E52" s="34" t="n"/>
    </row>
    <row r="53" ht="15" customHeight="1" s="35">
      <c r="C53" s="34" t="n"/>
      <c r="D53" s="34" t="n"/>
      <c r="E53" s="34" t="n"/>
    </row>
    <row r="54" ht="15" customHeight="1" s="35">
      <c r="C54" s="34" t="n"/>
      <c r="D54" s="34" t="n"/>
      <c r="E54" s="34" t="n"/>
    </row>
    <row r="55" ht="15" customHeight="1" s="35">
      <c r="C55" s="34" t="n"/>
      <c r="D55" s="34" t="n"/>
      <c r="E55" s="34" t="n"/>
    </row>
    <row r="56" ht="15" customHeight="1" s="35">
      <c r="C56" s="34" t="n"/>
      <c r="D56" s="34" t="n"/>
      <c r="E56" s="34" t="n"/>
    </row>
    <row r="57" ht="15" customHeight="1" s="35">
      <c r="C57" s="34" t="n"/>
      <c r="D57" s="34" t="n"/>
      <c r="E57" s="34" t="n"/>
    </row>
    <row r="58" ht="15" customHeight="1" s="35">
      <c r="C58" s="34" t="n"/>
      <c r="D58" s="34" t="n"/>
      <c r="E58" s="34" t="n"/>
    </row>
    <row r="59" ht="15" customHeight="1" s="35">
      <c r="C59" s="34" t="n"/>
      <c r="D59" s="34" t="n"/>
      <c r="E59" s="34" t="n"/>
    </row>
    <row r="60" ht="15" customHeight="1" s="35">
      <c r="C60" s="34" t="n"/>
      <c r="D60" s="34" t="n"/>
      <c r="E60" s="34" t="n"/>
    </row>
    <row r="61" ht="15" customHeight="1" s="35">
      <c r="C61" s="34" t="n"/>
      <c r="D61" s="34" t="n"/>
      <c r="E61" s="34" t="n"/>
    </row>
    <row r="62" ht="15" customHeight="1" s="35">
      <c r="C62" s="34" t="n"/>
      <c r="D62" s="34" t="n"/>
      <c r="E62" s="34" t="n"/>
    </row>
    <row r="63" ht="15" customHeight="1" s="35">
      <c r="C63" s="34" t="n"/>
      <c r="D63" s="34" t="n"/>
      <c r="E63" s="34" t="n"/>
    </row>
    <row r="64" ht="15" customHeight="1" s="35">
      <c r="C64" s="34" t="n"/>
      <c r="D64" s="34" t="n"/>
      <c r="E64" s="34" t="n"/>
    </row>
    <row r="65" ht="15" customHeight="1" s="35">
      <c r="C65" s="34" t="n"/>
      <c r="D65" s="34" t="n"/>
      <c r="E65" s="34" t="n"/>
    </row>
    <row r="66" ht="15" customHeight="1" s="35">
      <c r="C66" s="34" t="n"/>
      <c r="D66" s="34" t="n"/>
      <c r="E66" s="34" t="n"/>
    </row>
    <row r="67" ht="15" customHeight="1" s="35">
      <c r="C67" s="34" t="n"/>
      <c r="D67" s="34" t="n"/>
      <c r="E67" s="34" t="n"/>
    </row>
    <row r="68" ht="15" customHeight="1" s="35">
      <c r="C68" s="34" t="n"/>
      <c r="D68" s="34" t="n"/>
      <c r="E68" s="34" t="n"/>
    </row>
    <row r="69" ht="15" customHeight="1" s="35">
      <c r="C69" s="34" t="n"/>
      <c r="D69" s="34" t="n"/>
      <c r="E69" s="34" t="n"/>
    </row>
    <row r="70" ht="15" customHeight="1" s="35">
      <c r="C70" s="34" t="n"/>
      <c r="D70" s="34" t="n"/>
      <c r="E70" s="34" t="n"/>
    </row>
    <row r="71" ht="15" customHeight="1" s="35">
      <c r="C71" s="34" t="n"/>
      <c r="D71" s="34" t="n"/>
      <c r="E71" s="34" t="n"/>
    </row>
    <row r="72" ht="15" customHeight="1" s="35">
      <c r="C72" s="34" t="n"/>
      <c r="D72" s="34" t="n"/>
      <c r="E72" s="34" t="n"/>
    </row>
    <row r="73" ht="15" customHeight="1" s="35">
      <c r="C73" s="34" t="n"/>
      <c r="D73" s="34" t="n"/>
      <c r="E73" s="34" t="n"/>
    </row>
    <row r="74" ht="15" customHeight="1" s="35">
      <c r="C74" s="34" t="n"/>
      <c r="D74" s="34" t="n"/>
      <c r="E74" s="34" t="n"/>
    </row>
    <row r="75" ht="15" customHeight="1" s="35">
      <c r="C75" s="34" t="n"/>
      <c r="D75" s="34" t="n"/>
      <c r="E75" s="34" t="n"/>
    </row>
    <row r="76" ht="15" customHeight="1" s="35">
      <c r="C76" s="34" t="n"/>
      <c r="D76" s="34" t="n"/>
      <c r="E76" s="34" t="n"/>
    </row>
    <row r="77" ht="15" customHeight="1" s="35">
      <c r="C77" s="34" t="n"/>
      <c r="D77" s="34" t="n"/>
      <c r="E77" s="34" t="n"/>
    </row>
    <row r="78" ht="15" customHeight="1" s="35">
      <c r="C78" s="34" t="n"/>
      <c r="D78" s="34" t="n"/>
      <c r="E78" s="34" t="n"/>
    </row>
    <row r="79" ht="15" customHeight="1" s="35">
      <c r="C79" s="34" t="n"/>
      <c r="D79" s="34" t="n"/>
      <c r="E79" s="34" t="n"/>
    </row>
    <row r="80" ht="15" customHeight="1" s="35">
      <c r="C80" s="34" t="n"/>
      <c r="D80" s="34" t="n"/>
      <c r="E80" s="34" t="n"/>
    </row>
    <row r="81" ht="15" customHeight="1" s="35">
      <c r="C81" s="34" t="n"/>
      <c r="D81" s="34" t="n"/>
      <c r="E81" s="34" t="n"/>
    </row>
    <row r="82" ht="15" customHeight="1" s="35">
      <c r="C82" s="34" t="n"/>
      <c r="D82" s="34" t="n"/>
      <c r="E82" s="34" t="n"/>
    </row>
    <row r="83" ht="15" customHeight="1" s="35">
      <c r="C83" s="34" t="n"/>
      <c r="D83" s="34" t="n"/>
      <c r="E83" s="34" t="n"/>
    </row>
    <row r="84" ht="15" customHeight="1" s="35">
      <c r="C84" s="34" t="n"/>
      <c r="D84" s="34" t="n"/>
      <c r="E84" s="34" t="n"/>
    </row>
    <row r="85" ht="15" customHeight="1" s="35">
      <c r="C85" s="34" t="n"/>
      <c r="D85" s="34" t="n"/>
      <c r="E85" s="34" t="n"/>
    </row>
    <row r="86" ht="15" customHeight="1" s="35">
      <c r="C86" s="34" t="n"/>
      <c r="D86" s="34" t="n"/>
      <c r="E86" s="34" t="n"/>
    </row>
    <row r="87" ht="15" customHeight="1" s="35">
      <c r="C87" s="34" t="n"/>
      <c r="D87" s="34" t="n"/>
      <c r="E87" s="34" t="n"/>
    </row>
    <row r="88" ht="15" customHeight="1" s="35">
      <c r="C88" s="34" t="n"/>
      <c r="D88" s="34" t="n"/>
      <c r="E88" s="34" t="n"/>
    </row>
    <row r="89" ht="15" customHeight="1" s="35">
      <c r="C89" s="34" t="n"/>
      <c r="D89" s="34" t="n"/>
      <c r="E89" s="34" t="n"/>
    </row>
    <row r="90" ht="15" customHeight="1" s="35">
      <c r="C90" s="34" t="n"/>
      <c r="D90" s="34" t="n"/>
      <c r="E90" s="34" t="n"/>
    </row>
    <row r="91" ht="15" customHeight="1" s="35">
      <c r="C91" s="34" t="n"/>
      <c r="D91" s="34" t="n"/>
      <c r="E91" s="34" t="n"/>
    </row>
    <row r="92" ht="15" customHeight="1" s="35">
      <c r="C92" s="34" t="n"/>
      <c r="D92" s="34" t="n"/>
      <c r="E92" s="34" t="n"/>
    </row>
    <row r="93" ht="15" customHeight="1" s="35">
      <c r="C93" s="34" t="n"/>
      <c r="D93" s="34" t="n"/>
      <c r="E93" s="34" t="n"/>
    </row>
    <row r="94" ht="15" customHeight="1" s="35">
      <c r="C94" s="34" t="n"/>
      <c r="D94" s="34" t="n"/>
      <c r="E94" s="34" t="n"/>
    </row>
    <row r="95" ht="15" customHeight="1" s="35">
      <c r="C95" s="34" t="n"/>
      <c r="D95" s="34" t="n"/>
      <c r="E95" s="34" t="n"/>
    </row>
    <row r="96" ht="15" customHeight="1" s="35">
      <c r="C96" s="34" t="n"/>
      <c r="D96" s="34" t="n"/>
      <c r="E96" s="34" t="n"/>
    </row>
    <row r="97" ht="15" customHeight="1" s="35">
      <c r="C97" s="34" t="n"/>
      <c r="D97" s="34" t="n"/>
      <c r="E97" s="34" t="n"/>
    </row>
    <row r="98" ht="15" customHeight="1" s="35">
      <c r="C98" s="34" t="n"/>
      <c r="D98" s="34" t="n"/>
      <c r="E98" s="34" t="n"/>
    </row>
    <row r="99" ht="15" customHeight="1" s="35">
      <c r="C99" s="34" t="n"/>
      <c r="D99" s="34" t="n"/>
      <c r="E99" s="34" t="n"/>
    </row>
    <row r="100" ht="15" customHeight="1" s="35">
      <c r="C100" s="34" t="n"/>
      <c r="D100" s="34" t="n"/>
      <c r="E100" s="34" t="n"/>
    </row>
    <row r="101" ht="15" customHeight="1" s="35">
      <c r="C101" s="34" t="n"/>
      <c r="D101" s="34" t="n"/>
      <c r="E101" s="34" t="n"/>
    </row>
    <row r="102" ht="15" customHeight="1" s="35">
      <c r="C102" s="34" t="n"/>
      <c r="D102" s="34" t="n"/>
      <c r="E102" s="34" t="n"/>
    </row>
    <row r="103" ht="15" customHeight="1" s="35">
      <c r="C103" s="34" t="n"/>
      <c r="D103" s="34" t="n"/>
      <c r="E103" s="34" t="n"/>
    </row>
    <row r="104" ht="15" customHeight="1" s="35">
      <c r="C104" s="34" t="n"/>
      <c r="D104" s="34" t="n"/>
      <c r="E104" s="34" t="n"/>
    </row>
    <row r="105" ht="15" customHeight="1" s="35">
      <c r="C105" s="34" t="n"/>
      <c r="D105" s="34" t="n"/>
      <c r="E105" s="34" t="n"/>
    </row>
    <row r="106" ht="15" customHeight="1" s="35">
      <c r="C106" s="34" t="n"/>
      <c r="D106" s="34" t="n"/>
      <c r="E106" s="34" t="n"/>
    </row>
    <row r="107" ht="15" customHeight="1" s="35">
      <c r="C107" s="34" t="n"/>
      <c r="D107" s="34" t="n"/>
      <c r="E107" s="34" t="n"/>
    </row>
    <row r="108" ht="15" customHeight="1" s="35">
      <c r="C108" s="34" t="n"/>
      <c r="D108" s="34" t="n"/>
      <c r="E108" s="34" t="n"/>
    </row>
    <row r="109" ht="15" customHeight="1" s="35">
      <c r="C109" s="34" t="n"/>
      <c r="D109" s="34" t="n"/>
      <c r="E109" s="34" t="n"/>
    </row>
    <row r="110" ht="15" customHeight="1" s="35">
      <c r="C110" s="34" t="n"/>
      <c r="D110" s="34" t="n"/>
      <c r="E110" s="34" t="n"/>
    </row>
    <row r="111" ht="15" customHeight="1" s="35">
      <c r="C111" s="34" t="n"/>
      <c r="D111" s="34" t="n"/>
      <c r="E111" s="34" t="n"/>
    </row>
    <row r="112" ht="15" customHeight="1" s="35">
      <c r="C112" s="34" t="n"/>
      <c r="D112" s="34" t="n"/>
      <c r="E112" s="34" t="n"/>
    </row>
    <row r="113" ht="15" customHeight="1" s="35">
      <c r="C113" s="34" t="n"/>
      <c r="D113" s="34" t="n"/>
      <c r="E113" s="34" t="n"/>
    </row>
    <row r="114" ht="15" customHeight="1" s="35">
      <c r="C114" s="34" t="n"/>
      <c r="D114" s="34" t="n"/>
      <c r="E114" s="34" t="n"/>
    </row>
    <row r="115" ht="15" customHeight="1" s="35">
      <c r="C115" s="34" t="n"/>
      <c r="D115" s="34" t="n"/>
      <c r="E115" s="34" t="n"/>
    </row>
    <row r="116" ht="15" customHeight="1" s="35">
      <c r="C116" s="34" t="n"/>
      <c r="D116" s="34" t="n"/>
      <c r="E116" s="34" t="n"/>
    </row>
    <row r="117" ht="15" customHeight="1" s="35">
      <c r="C117" s="34" t="n"/>
      <c r="D117" s="34" t="n"/>
      <c r="E117" s="34" t="n"/>
    </row>
    <row r="118" ht="15" customHeight="1" s="35">
      <c r="C118" s="34" t="n"/>
      <c r="D118" s="34" t="n"/>
      <c r="E118" s="34" t="n"/>
    </row>
    <row r="119" ht="15" customHeight="1" s="35">
      <c r="C119" s="34" t="n"/>
      <c r="D119" s="34" t="n"/>
      <c r="E119" s="34" t="n"/>
    </row>
    <row r="120" ht="15" customHeight="1" s="35">
      <c r="C120" s="34" t="n"/>
      <c r="D120" s="34" t="n"/>
      <c r="E120" s="34" t="n"/>
    </row>
    <row r="121" ht="15" customHeight="1" s="35">
      <c r="C121" s="34" t="n"/>
      <c r="D121" s="34" t="n"/>
      <c r="E121" s="34" t="n"/>
    </row>
    <row r="122" ht="15" customHeight="1" s="35">
      <c r="C122" s="34" t="n"/>
      <c r="D122" s="34" t="n"/>
      <c r="E122" s="34" t="n"/>
    </row>
    <row r="123" ht="15" customHeight="1" s="35">
      <c r="C123" s="34" t="n"/>
      <c r="D123" s="34" t="n"/>
      <c r="E123" s="34" t="n"/>
    </row>
    <row r="124" ht="15" customHeight="1" s="35">
      <c r="C124" s="34" t="n"/>
      <c r="D124" s="34" t="n"/>
      <c r="E124" s="34" t="n"/>
    </row>
    <row r="125" ht="15" customHeight="1" s="35">
      <c r="C125" s="34" t="n"/>
      <c r="D125" s="34" t="n"/>
      <c r="E125" s="34" t="n"/>
    </row>
    <row r="126" ht="15" customHeight="1" s="35">
      <c r="C126" s="34" t="n"/>
      <c r="D126" s="34" t="n"/>
      <c r="E126" s="34" t="n"/>
    </row>
    <row r="127" ht="15" customHeight="1" s="35">
      <c r="C127" s="34" t="n"/>
      <c r="D127" s="34" t="n"/>
      <c r="E127" s="34" t="n"/>
    </row>
    <row r="128" ht="15" customHeight="1" s="35">
      <c r="C128" s="34" t="n"/>
      <c r="D128" s="34" t="n"/>
      <c r="E128" s="34" t="n"/>
    </row>
    <row r="129" ht="15" customHeight="1" s="35">
      <c r="C129" s="34" t="n"/>
      <c r="D129" s="34" t="n"/>
      <c r="E129" s="34" t="n"/>
    </row>
    <row r="130" ht="15" customHeight="1" s="35">
      <c r="C130" s="34" t="n"/>
      <c r="D130" s="34" t="n"/>
      <c r="E130" s="34" t="n"/>
    </row>
    <row r="131" ht="15" customHeight="1" s="35">
      <c r="C131" s="34" t="n"/>
      <c r="D131" s="34" t="n"/>
      <c r="E131" s="34" t="n"/>
    </row>
    <row r="132" ht="15" customHeight="1" s="35">
      <c r="C132" s="34" t="n"/>
      <c r="D132" s="34" t="n"/>
      <c r="E132" s="34" t="n"/>
    </row>
    <row r="133" ht="15" customHeight="1" s="35">
      <c r="C133" s="34" t="n"/>
      <c r="D133" s="34" t="n"/>
      <c r="E133" s="34" t="n"/>
    </row>
    <row r="134" ht="15" customHeight="1" s="35">
      <c r="C134" s="34" t="n"/>
      <c r="D134" s="34" t="n"/>
      <c r="E134" s="34" t="n"/>
    </row>
    <row r="135" ht="15" customHeight="1" s="35">
      <c r="C135" s="34" t="n"/>
      <c r="D135" s="34" t="n"/>
      <c r="E135" s="34" t="n"/>
    </row>
    <row r="136" ht="15" customHeight="1" s="35">
      <c r="C136" s="34" t="n"/>
      <c r="D136" s="34" t="n"/>
      <c r="E136" s="34" t="n"/>
    </row>
    <row r="137" ht="15" customHeight="1" s="35">
      <c r="C137" s="34" t="n"/>
      <c r="D137" s="34" t="n"/>
      <c r="E137" s="34" t="n"/>
    </row>
    <row r="138" ht="15" customHeight="1" s="35">
      <c r="C138" s="34" t="n"/>
      <c r="D138" s="34" t="n"/>
      <c r="E138" s="34" t="n"/>
    </row>
    <row r="139" ht="15" customHeight="1" s="35">
      <c r="C139" s="34" t="n"/>
      <c r="D139" s="34" t="n"/>
      <c r="E139" s="34" t="n"/>
    </row>
    <row r="140" ht="15" customHeight="1" s="35">
      <c r="C140" s="34" t="n"/>
      <c r="D140" s="34" t="n"/>
      <c r="E140" s="34" t="n"/>
    </row>
    <row r="141" ht="15" customHeight="1" s="35">
      <c r="C141" s="34" t="n"/>
      <c r="D141" s="34" t="n"/>
      <c r="E141" s="34" t="n"/>
    </row>
    <row r="142" ht="15" customHeight="1" s="35">
      <c r="C142" s="34" t="n"/>
      <c r="D142" s="34" t="n"/>
      <c r="E142" s="34" t="n"/>
    </row>
    <row r="143" ht="15" customHeight="1" s="35">
      <c r="C143" s="34" t="n"/>
      <c r="D143" s="34" t="n"/>
      <c r="E143" s="34" t="n"/>
    </row>
    <row r="144" ht="15" customHeight="1" s="35">
      <c r="C144" s="34" t="n"/>
      <c r="D144" s="34" t="n"/>
      <c r="E144" s="34" t="n"/>
    </row>
    <row r="145" ht="15" customHeight="1" s="35">
      <c r="C145" s="34" t="n"/>
      <c r="D145" s="34" t="n"/>
      <c r="E145" s="34" t="n"/>
    </row>
    <row r="146" ht="15" customHeight="1" s="35">
      <c r="C146" s="34" t="n"/>
      <c r="D146" s="34" t="n"/>
      <c r="E146" s="34" t="n"/>
    </row>
    <row r="147" ht="15" customHeight="1" s="35">
      <c r="C147" s="34" t="n"/>
      <c r="D147" s="34" t="n"/>
      <c r="E147" s="34" t="n"/>
    </row>
    <row r="148" ht="15" customHeight="1" s="35">
      <c r="C148" s="34" t="n"/>
      <c r="D148" s="34" t="n"/>
      <c r="E148" s="34" t="n"/>
    </row>
    <row r="149" ht="15" customHeight="1" s="35">
      <c r="C149" s="34" t="n"/>
      <c r="D149" s="34" t="n"/>
      <c r="E149" s="34" t="n"/>
    </row>
    <row r="150" ht="15" customHeight="1" s="35">
      <c r="C150" s="34" t="n"/>
      <c r="D150" s="34" t="n"/>
      <c r="E150" s="34" t="n"/>
    </row>
    <row r="151" ht="15" customHeight="1" s="35">
      <c r="C151" s="34" t="n"/>
      <c r="D151" s="34" t="n"/>
      <c r="E151" s="34" t="n"/>
    </row>
    <row r="152" ht="15" customHeight="1" s="35">
      <c r="C152" s="34" t="n"/>
      <c r="D152" s="34" t="n"/>
      <c r="E152" s="34" t="n"/>
    </row>
    <row r="153" ht="15" customHeight="1" s="35">
      <c r="C153" s="34" t="n"/>
      <c r="D153" s="34" t="n"/>
      <c r="E153" s="34" t="n"/>
    </row>
    <row r="154" ht="15" customHeight="1" s="35">
      <c r="C154" s="34" t="n"/>
      <c r="D154" s="34" t="n"/>
      <c r="E154" s="34" t="n"/>
    </row>
    <row r="155" ht="15" customHeight="1" s="35">
      <c r="C155" s="34" t="n"/>
      <c r="D155" s="34" t="n"/>
      <c r="E155" s="34" t="n"/>
    </row>
    <row r="156" ht="15" customHeight="1" s="35">
      <c r="C156" s="34" t="n"/>
      <c r="D156" s="34" t="n"/>
      <c r="E156" s="34" t="n"/>
    </row>
    <row r="157" ht="15" customHeight="1" s="35">
      <c r="C157" s="34" t="n"/>
      <c r="D157" s="34" t="n"/>
      <c r="E157" s="34" t="n"/>
    </row>
    <row r="158" ht="15" customHeight="1" s="35">
      <c r="C158" s="34" t="n"/>
      <c r="D158" s="34" t="n"/>
      <c r="E158" s="34" t="n"/>
    </row>
    <row r="159" ht="15" customHeight="1" s="35">
      <c r="C159" s="34" t="n"/>
      <c r="D159" s="34" t="n"/>
      <c r="E159" s="34" t="n"/>
    </row>
    <row r="160" ht="15" customHeight="1" s="35">
      <c r="C160" s="34" t="n"/>
      <c r="D160" s="34" t="n"/>
      <c r="E160" s="34" t="n"/>
    </row>
    <row r="161" ht="15" customHeight="1" s="35">
      <c r="C161" s="34" t="n"/>
      <c r="D161" s="34" t="n"/>
      <c r="E161" s="34" t="n"/>
    </row>
    <row r="162" ht="15" customHeight="1" s="35">
      <c r="C162" s="34" t="n"/>
      <c r="D162" s="34" t="n"/>
      <c r="E162" s="34" t="n"/>
    </row>
    <row r="163" ht="15" customHeight="1" s="35">
      <c r="C163" s="34" t="n"/>
      <c r="D163" s="34" t="n"/>
      <c r="E163" s="34" t="n"/>
    </row>
    <row r="164" ht="15" customHeight="1" s="35">
      <c r="C164" s="34" t="n"/>
      <c r="D164" s="34" t="n"/>
      <c r="E164" s="34" t="n"/>
    </row>
    <row r="165" ht="15" customHeight="1" s="35">
      <c r="C165" s="34" t="n"/>
      <c r="D165" s="34" t="n"/>
      <c r="E165" s="34" t="n"/>
    </row>
    <row r="166" ht="15" customHeight="1" s="35">
      <c r="C166" s="34" t="n"/>
      <c r="D166" s="34" t="n"/>
      <c r="E166" s="34" t="n"/>
    </row>
    <row r="167" ht="15" customHeight="1" s="35">
      <c r="C167" s="34" t="n"/>
      <c r="D167" s="34" t="n"/>
      <c r="E167" s="34" t="n"/>
    </row>
    <row r="168" ht="15" customHeight="1" s="35">
      <c r="C168" s="34" t="n"/>
      <c r="D168" s="34" t="n"/>
      <c r="E168" s="34" t="n"/>
    </row>
    <row r="169" ht="15" customHeight="1" s="35">
      <c r="C169" s="34" t="n"/>
      <c r="D169" s="34" t="n"/>
      <c r="E169" s="34" t="n"/>
    </row>
    <row r="170" ht="15" customHeight="1" s="35">
      <c r="C170" s="34" t="n"/>
      <c r="D170" s="34" t="n"/>
      <c r="E170" s="34" t="n"/>
    </row>
    <row r="171" ht="15" customHeight="1" s="35">
      <c r="C171" s="34" t="n"/>
      <c r="D171" s="34" t="n"/>
      <c r="E171" s="34" t="n"/>
    </row>
    <row r="172" ht="15" customHeight="1" s="35">
      <c r="C172" s="34" t="n"/>
      <c r="D172" s="34" t="n"/>
      <c r="E172" s="34" t="n"/>
    </row>
    <row r="173" ht="15" customHeight="1" s="35">
      <c r="C173" s="34" t="n"/>
      <c r="D173" s="34" t="n"/>
      <c r="E173" s="34" t="n"/>
    </row>
    <row r="174" ht="15" customHeight="1" s="35">
      <c r="C174" s="34" t="n"/>
      <c r="D174" s="34" t="n"/>
      <c r="E174" s="34" t="n"/>
    </row>
    <row r="175" ht="15" customHeight="1" s="35">
      <c r="C175" s="34" t="n"/>
      <c r="D175" s="34" t="n"/>
      <c r="E175" s="34" t="n"/>
    </row>
    <row r="176" ht="15" customHeight="1" s="35">
      <c r="C176" s="34" t="n"/>
      <c r="D176" s="34" t="n"/>
      <c r="E176" s="34" t="n"/>
    </row>
    <row r="177" ht="15" customHeight="1" s="35">
      <c r="C177" s="34" t="n"/>
      <c r="D177" s="34" t="n"/>
      <c r="E177" s="34" t="n"/>
    </row>
    <row r="178" ht="15" customHeight="1" s="35">
      <c r="C178" s="34" t="n"/>
      <c r="D178" s="34" t="n"/>
      <c r="E178" s="34" t="n"/>
    </row>
    <row r="179" ht="15" customHeight="1" s="35">
      <c r="C179" s="34" t="n"/>
      <c r="D179" s="34" t="n"/>
      <c r="E179" s="34" t="n"/>
    </row>
    <row r="180" ht="15" customHeight="1" s="35">
      <c r="C180" s="34" t="n"/>
      <c r="D180" s="34" t="n"/>
      <c r="E180" s="34" t="n"/>
    </row>
    <row r="181" ht="15" customHeight="1" s="35">
      <c r="C181" s="34" t="n"/>
      <c r="D181" s="34" t="n"/>
      <c r="E181" s="34" t="n"/>
    </row>
    <row r="182" ht="15" customHeight="1" s="35">
      <c r="C182" s="34" t="n"/>
      <c r="D182" s="34" t="n"/>
      <c r="E182" s="34" t="n"/>
    </row>
    <row r="183" ht="15" customHeight="1" s="35">
      <c r="C183" s="34" t="n"/>
      <c r="D183" s="34" t="n"/>
      <c r="E183" s="34" t="n"/>
    </row>
    <row r="184" ht="15" customHeight="1" s="35">
      <c r="C184" s="34" t="n"/>
      <c r="D184" s="34" t="n"/>
      <c r="E184" s="34" t="n"/>
    </row>
    <row r="185" ht="15" customHeight="1" s="35">
      <c r="C185" s="34" t="n"/>
      <c r="D185" s="34" t="n"/>
      <c r="E185" s="34" t="n"/>
    </row>
    <row r="186" ht="15" customHeight="1" s="35">
      <c r="C186" s="34" t="n"/>
      <c r="D186" s="34" t="n"/>
      <c r="E186" s="34" t="n"/>
    </row>
    <row r="187" ht="15" customHeight="1" s="35">
      <c r="C187" s="34" t="n"/>
      <c r="D187" s="34" t="n"/>
      <c r="E187" s="34" t="n"/>
    </row>
    <row r="188" ht="15" customHeight="1" s="35">
      <c r="C188" s="34" t="n"/>
      <c r="D188" s="34" t="n"/>
      <c r="E188" s="34" t="n"/>
    </row>
    <row r="189" ht="15" customHeight="1" s="35">
      <c r="C189" s="34" t="n"/>
      <c r="D189" s="34" t="n"/>
      <c r="E189" s="34" t="n"/>
    </row>
    <row r="190" ht="15" customHeight="1" s="35">
      <c r="C190" s="34" t="n"/>
      <c r="D190" s="34" t="n"/>
      <c r="E190" s="34" t="n"/>
    </row>
    <row r="191" ht="15" customHeight="1" s="35">
      <c r="C191" s="34" t="n"/>
      <c r="D191" s="34" t="n"/>
      <c r="E191" s="34" t="n"/>
    </row>
    <row r="192" ht="15" customHeight="1" s="35">
      <c r="C192" s="34" t="n"/>
      <c r="D192" s="34" t="n"/>
      <c r="E192" s="34" t="n"/>
    </row>
    <row r="193" ht="15" customHeight="1" s="35">
      <c r="C193" s="34" t="n"/>
      <c r="D193" s="34" t="n"/>
      <c r="E193" s="34" t="n"/>
    </row>
    <row r="194" ht="15" customHeight="1" s="35">
      <c r="C194" s="34" t="n"/>
      <c r="D194" s="34" t="n"/>
      <c r="E194" s="34" t="n"/>
    </row>
    <row r="195" ht="15" customHeight="1" s="35">
      <c r="C195" s="34" t="n"/>
      <c r="D195" s="34" t="n"/>
      <c r="E195" s="34" t="n"/>
    </row>
    <row r="196" ht="15" customHeight="1" s="35">
      <c r="C196" s="34" t="n"/>
      <c r="D196" s="34" t="n"/>
      <c r="E196" s="34" t="n"/>
    </row>
    <row r="197" ht="15" customHeight="1" s="35">
      <c r="C197" s="34" t="n"/>
      <c r="D197" s="34" t="n"/>
      <c r="E197" s="34" t="n"/>
    </row>
    <row r="198" ht="15" customHeight="1" s="35">
      <c r="C198" s="34" t="n"/>
      <c r="D198" s="34" t="n"/>
      <c r="E198" s="34" t="n"/>
    </row>
    <row r="199" ht="15" customHeight="1" s="35">
      <c r="C199" s="34" t="n"/>
      <c r="D199" s="34" t="n"/>
      <c r="E199" s="34" t="n"/>
    </row>
    <row r="200" ht="15" customHeight="1" s="35">
      <c r="C200" s="34" t="n"/>
      <c r="D200" s="34" t="n"/>
      <c r="E200" s="34" t="n"/>
    </row>
    <row r="201" ht="15" customHeight="1" s="35">
      <c r="C201" s="34" t="n"/>
      <c r="D201" s="34" t="n"/>
      <c r="E201" s="34" t="n"/>
    </row>
    <row r="202" ht="15" customHeight="1" s="35">
      <c r="C202" s="34" t="n"/>
      <c r="D202" s="34" t="n"/>
      <c r="E202" s="34" t="n"/>
    </row>
    <row r="203" ht="15" customHeight="1" s="35">
      <c r="C203" s="34" t="n"/>
      <c r="D203" s="34" t="n"/>
      <c r="E203" s="34" t="n"/>
    </row>
    <row r="204" ht="15" customHeight="1" s="35">
      <c r="C204" s="34" t="n"/>
      <c r="D204" s="34" t="n"/>
      <c r="E204" s="34" t="n"/>
    </row>
    <row r="205" ht="15" customHeight="1" s="35">
      <c r="C205" s="34" t="n"/>
      <c r="D205" s="34" t="n"/>
      <c r="E205" s="34" t="n"/>
    </row>
    <row r="206" ht="15" customHeight="1" s="35">
      <c r="C206" s="34" t="n"/>
      <c r="D206" s="34" t="n"/>
      <c r="E206" s="34" t="n"/>
    </row>
    <row r="207" ht="15" customHeight="1" s="35">
      <c r="C207" s="34" t="n"/>
      <c r="D207" s="34" t="n"/>
      <c r="E207" s="34" t="n"/>
    </row>
    <row r="208" ht="15" customHeight="1" s="35">
      <c r="C208" s="34" t="n"/>
      <c r="D208" s="34" t="n"/>
      <c r="E208" s="34" t="n"/>
    </row>
    <row r="209" ht="15" customHeight="1" s="35">
      <c r="C209" s="34" t="n"/>
      <c r="D209" s="34" t="n"/>
      <c r="E209" s="34" t="n"/>
    </row>
    <row r="210" ht="15" customHeight="1" s="35">
      <c r="C210" s="34" t="n"/>
      <c r="D210" s="34" t="n"/>
      <c r="E210" s="34" t="n"/>
    </row>
    <row r="211" ht="15" customHeight="1" s="35">
      <c r="C211" s="34" t="n"/>
      <c r="D211" s="34" t="n"/>
      <c r="E211" s="34" t="n"/>
    </row>
    <row r="212" ht="15" customHeight="1" s="35">
      <c r="C212" s="34" t="n"/>
      <c r="D212" s="34" t="n"/>
      <c r="E212" s="34" t="n"/>
    </row>
    <row r="213" ht="15" customHeight="1" s="35">
      <c r="C213" s="34" t="n"/>
      <c r="D213" s="34" t="n"/>
      <c r="E213" s="34" t="n"/>
    </row>
    <row r="214" ht="15" customHeight="1" s="35">
      <c r="C214" s="34" t="n"/>
      <c r="D214" s="34" t="n"/>
      <c r="E214" s="34" t="n"/>
    </row>
    <row r="215" ht="15" customHeight="1" s="35">
      <c r="C215" s="34" t="n"/>
      <c r="D215" s="34" t="n"/>
      <c r="E215" s="34" t="n"/>
    </row>
    <row r="216" ht="15" customHeight="1" s="35">
      <c r="C216" s="34" t="n"/>
      <c r="D216" s="34" t="n"/>
      <c r="E216" s="34" t="n"/>
    </row>
    <row r="217" ht="15" customHeight="1" s="35">
      <c r="C217" s="34" t="n"/>
      <c r="D217" s="34" t="n"/>
      <c r="E217" s="34" t="n"/>
    </row>
    <row r="218" ht="15" customHeight="1" s="35">
      <c r="C218" s="34" t="n"/>
      <c r="D218" s="34" t="n"/>
      <c r="E218" s="34" t="n"/>
    </row>
    <row r="219" ht="15" customHeight="1" s="35">
      <c r="C219" s="34" t="n"/>
      <c r="D219" s="34" t="n"/>
      <c r="E219" s="34" t="n"/>
    </row>
    <row r="220" ht="15" customHeight="1" s="35">
      <c r="C220" s="34" t="n"/>
      <c r="D220" s="34" t="n"/>
      <c r="E220" s="34" t="n"/>
    </row>
    <row r="221" ht="15" customHeight="1" s="35">
      <c r="C221" s="34" t="n"/>
      <c r="D221" s="34" t="n"/>
      <c r="E221" s="34" t="n"/>
    </row>
    <row r="222" ht="15" customHeight="1" s="35">
      <c r="C222" s="34" t="n"/>
      <c r="D222" s="34" t="n"/>
      <c r="E222" s="34" t="n"/>
    </row>
    <row r="223" ht="15" customHeight="1" s="35">
      <c r="C223" s="34" t="n"/>
      <c r="D223" s="34" t="n"/>
      <c r="E223" s="34" t="n"/>
    </row>
    <row r="224" ht="15" customHeight="1" s="35">
      <c r="C224" s="34" t="n"/>
      <c r="D224" s="34" t="n"/>
      <c r="E224" s="34" t="n"/>
    </row>
    <row r="225" ht="15" customHeight="1" s="35">
      <c r="C225" s="34" t="n"/>
      <c r="D225" s="34" t="n"/>
      <c r="E225" s="34" t="n"/>
    </row>
    <row r="226" ht="15" customHeight="1" s="35">
      <c r="C226" s="34" t="n"/>
      <c r="D226" s="34" t="n"/>
      <c r="E226" s="34" t="n"/>
    </row>
    <row r="227" ht="15" customHeight="1" s="35">
      <c r="C227" s="34" t="n"/>
      <c r="D227" s="34" t="n"/>
      <c r="E227" s="34" t="n"/>
    </row>
    <row r="228" ht="15" customHeight="1" s="35">
      <c r="C228" s="34" t="n"/>
      <c r="D228" s="34" t="n"/>
      <c r="E228" s="34" t="n"/>
    </row>
    <row r="229" ht="15" customHeight="1" s="35">
      <c r="C229" s="34" t="n"/>
      <c r="D229" s="34" t="n"/>
      <c r="E229" s="34" t="n"/>
    </row>
    <row r="230" ht="15" customHeight="1" s="35">
      <c r="C230" s="34" t="n"/>
      <c r="D230" s="34" t="n"/>
      <c r="E230" s="34" t="n"/>
    </row>
    <row r="231" ht="15" customHeight="1" s="35">
      <c r="C231" s="34" t="n"/>
      <c r="D231" s="34" t="n"/>
      <c r="E231" s="34" t="n"/>
    </row>
    <row r="232" ht="15" customHeight="1" s="35">
      <c r="C232" s="34" t="n"/>
      <c r="D232" s="34" t="n"/>
      <c r="E232" s="34" t="n"/>
    </row>
    <row r="233" ht="15" customHeight="1" s="35">
      <c r="C233" s="34" t="n"/>
      <c r="D233" s="34" t="n"/>
      <c r="E233" s="34" t="n"/>
    </row>
    <row r="234" ht="15" customHeight="1" s="35">
      <c r="C234" s="34" t="n"/>
      <c r="D234" s="34" t="n"/>
      <c r="E234" s="34" t="n"/>
    </row>
    <row r="235" ht="15" customHeight="1" s="35">
      <c r="C235" s="34" t="n"/>
      <c r="D235" s="34" t="n"/>
      <c r="E235" s="34" t="n"/>
    </row>
    <row r="236" ht="15" customHeight="1" s="35">
      <c r="C236" s="34" t="n"/>
      <c r="D236" s="34" t="n"/>
      <c r="E236" s="34" t="n"/>
    </row>
    <row r="237" ht="15" customHeight="1" s="35">
      <c r="C237" s="34" t="n"/>
      <c r="D237" s="34" t="n"/>
      <c r="E237" s="34" t="n"/>
    </row>
    <row r="238" ht="15" customHeight="1" s="35">
      <c r="C238" s="34" t="n"/>
      <c r="D238" s="34" t="n"/>
      <c r="E238" s="34" t="n"/>
    </row>
    <row r="239" ht="15" customHeight="1" s="35">
      <c r="C239" s="34" t="n"/>
      <c r="D239" s="34" t="n"/>
      <c r="E239" s="34" t="n"/>
    </row>
    <row r="240" ht="15" customHeight="1" s="35">
      <c r="C240" s="34" t="n"/>
      <c r="D240" s="34" t="n"/>
      <c r="E240" s="34" t="n"/>
    </row>
    <row r="241" ht="15" customHeight="1" s="35">
      <c r="C241" s="34" t="n"/>
      <c r="D241" s="34" t="n"/>
      <c r="E241" s="34" t="n"/>
    </row>
    <row r="242" ht="15" customHeight="1" s="35">
      <c r="C242" s="34" t="n"/>
      <c r="D242" s="34" t="n"/>
      <c r="E242" s="34" t="n"/>
    </row>
    <row r="243" ht="15" customHeight="1" s="35">
      <c r="C243" s="34" t="n"/>
      <c r="D243" s="34" t="n"/>
      <c r="E243" s="34" t="n"/>
    </row>
    <row r="244" ht="15" customHeight="1" s="35">
      <c r="C244" s="34" t="n"/>
      <c r="D244" s="34" t="n"/>
      <c r="E244" s="34" t="n"/>
    </row>
    <row r="245" ht="15" customHeight="1" s="35">
      <c r="C245" s="34" t="n"/>
      <c r="D245" s="34" t="n"/>
      <c r="E245" s="34" t="n"/>
    </row>
    <row r="246" ht="15" customHeight="1" s="35">
      <c r="C246" s="34" t="n"/>
      <c r="D246" s="34" t="n"/>
      <c r="E246" s="34" t="n"/>
    </row>
    <row r="247" ht="15" customHeight="1" s="35">
      <c r="C247" s="34" t="n"/>
      <c r="D247" s="34" t="n"/>
      <c r="E247" s="34" t="n"/>
    </row>
    <row r="248" ht="15" customHeight="1" s="35">
      <c r="C248" s="34" t="n"/>
      <c r="D248" s="34" t="n"/>
      <c r="E248" s="34" t="n"/>
    </row>
    <row r="249" ht="15" customHeight="1" s="35">
      <c r="C249" s="34" t="n"/>
      <c r="D249" s="34" t="n"/>
      <c r="E249" s="34" t="n"/>
    </row>
    <row r="250" ht="15" customHeight="1" s="35">
      <c r="C250" s="34" t="n"/>
      <c r="D250" s="34" t="n"/>
      <c r="E250" s="34" t="n"/>
    </row>
    <row r="251" ht="15" customHeight="1" s="35">
      <c r="C251" s="34" t="n"/>
      <c r="D251" s="34" t="n"/>
      <c r="E251" s="34" t="n"/>
    </row>
    <row r="252" ht="15" customHeight="1" s="35">
      <c r="C252" s="34" t="n"/>
      <c r="D252" s="34" t="n"/>
      <c r="E252" s="34" t="n"/>
    </row>
    <row r="253" ht="15" customHeight="1" s="35">
      <c r="C253" s="34" t="n"/>
      <c r="D253" s="34" t="n"/>
      <c r="E253" s="34" t="n"/>
    </row>
    <row r="254" ht="15" customHeight="1" s="35">
      <c r="C254" s="34" t="n"/>
      <c r="D254" s="34" t="n"/>
      <c r="E254" s="34" t="n"/>
    </row>
    <row r="255" ht="15" customHeight="1" s="35">
      <c r="C255" s="34" t="n"/>
      <c r="D255" s="34" t="n"/>
      <c r="E255" s="34" t="n"/>
    </row>
    <row r="256" ht="15" customHeight="1" s="35">
      <c r="C256" s="34" t="n"/>
      <c r="D256" s="34" t="n"/>
      <c r="E256" s="34" t="n"/>
    </row>
    <row r="257" ht="15" customHeight="1" s="35">
      <c r="C257" s="34" t="n"/>
      <c r="D257" s="34" t="n"/>
      <c r="E257" s="34" t="n"/>
    </row>
    <row r="258" ht="15" customHeight="1" s="35">
      <c r="C258" s="34" t="n"/>
      <c r="D258" s="34" t="n"/>
      <c r="E258" s="34" t="n"/>
    </row>
    <row r="259" ht="15" customHeight="1" s="35">
      <c r="C259" s="34" t="n"/>
      <c r="D259" s="34" t="n"/>
      <c r="E259" s="34" t="n"/>
    </row>
    <row r="260" ht="15" customHeight="1" s="35">
      <c r="C260" s="34" t="n"/>
      <c r="D260" s="34" t="n"/>
      <c r="E260" s="34" t="n"/>
    </row>
    <row r="261" ht="15" customHeight="1" s="35">
      <c r="C261" s="34" t="n"/>
      <c r="D261" s="34" t="n"/>
      <c r="E261" s="34" t="n"/>
    </row>
    <row r="262" ht="15" customHeight="1" s="35">
      <c r="C262" s="34" t="n"/>
      <c r="D262" s="34" t="n"/>
      <c r="E262" s="34" t="n"/>
    </row>
    <row r="263" ht="15" customHeight="1" s="35">
      <c r="C263" s="34" t="n"/>
      <c r="D263" s="34" t="n"/>
      <c r="E263" s="34" t="n"/>
    </row>
    <row r="264" ht="15" customHeight="1" s="35">
      <c r="C264" s="34" t="n"/>
      <c r="D264" s="34" t="n"/>
      <c r="E264" s="34" t="n"/>
    </row>
    <row r="265" ht="15" customHeight="1" s="35">
      <c r="C265" s="34" t="n"/>
      <c r="D265" s="34" t="n"/>
      <c r="E265" s="34" t="n"/>
    </row>
    <row r="266" ht="15" customHeight="1" s="35">
      <c r="C266" s="34" t="n"/>
      <c r="D266" s="34" t="n"/>
      <c r="E266" s="34" t="n"/>
    </row>
    <row r="267" ht="15" customHeight="1" s="35">
      <c r="C267" s="34" t="n"/>
      <c r="D267" s="34" t="n"/>
      <c r="E267" s="34" t="n"/>
    </row>
    <row r="268" ht="15" customHeight="1" s="35">
      <c r="C268" s="34" t="n"/>
      <c r="D268" s="34" t="n"/>
      <c r="E268" s="34" t="n"/>
    </row>
    <row r="269" ht="15" customHeight="1" s="35">
      <c r="C269" s="34" t="n"/>
      <c r="D269" s="34" t="n"/>
      <c r="E269" s="34" t="n"/>
    </row>
    <row r="270" ht="15" customHeight="1" s="35">
      <c r="C270" s="34" t="n"/>
      <c r="D270" s="34" t="n"/>
      <c r="E270" s="34" t="n"/>
    </row>
    <row r="271" ht="15" customHeight="1" s="35">
      <c r="C271" s="34" t="n"/>
      <c r="D271" s="34" t="n"/>
      <c r="E271" s="34" t="n"/>
    </row>
    <row r="272" ht="15" customHeight="1" s="35">
      <c r="C272" s="34" t="n"/>
      <c r="D272" s="34" t="n"/>
      <c r="E272" s="34" t="n"/>
    </row>
    <row r="273" ht="15" customHeight="1" s="35">
      <c r="C273" s="34" t="n"/>
      <c r="D273" s="34" t="n"/>
      <c r="E273" s="34" t="n"/>
    </row>
    <row r="274" ht="15" customHeight="1" s="35">
      <c r="C274" s="34" t="n"/>
      <c r="D274" s="34" t="n"/>
      <c r="E274" s="34" t="n"/>
    </row>
    <row r="275" ht="15" customHeight="1" s="35">
      <c r="C275" s="34" t="n"/>
      <c r="D275" s="34" t="n"/>
      <c r="E275" s="34" t="n"/>
    </row>
    <row r="276" ht="15" customHeight="1" s="35">
      <c r="C276" s="34" t="n"/>
      <c r="D276" s="34" t="n"/>
      <c r="E276" s="34" t="n"/>
    </row>
    <row r="277" ht="15" customHeight="1" s="35">
      <c r="C277" s="34" t="n"/>
      <c r="D277" s="34" t="n"/>
      <c r="E277" s="34" t="n"/>
    </row>
    <row r="278" ht="15" customHeight="1" s="35">
      <c r="C278" s="34" t="n"/>
      <c r="D278" s="34" t="n"/>
      <c r="E278" s="34" t="n"/>
    </row>
    <row r="279" ht="15" customHeight="1" s="35">
      <c r="C279" s="34" t="n"/>
      <c r="D279" s="34" t="n"/>
      <c r="E279" s="34" t="n"/>
    </row>
    <row r="280" ht="15" customHeight="1" s="35">
      <c r="C280" s="34" t="n"/>
      <c r="D280" s="34" t="n"/>
      <c r="E280" s="34" t="n"/>
    </row>
    <row r="281" ht="15" customHeight="1" s="35">
      <c r="C281" s="34" t="n"/>
      <c r="D281" s="34" t="n"/>
      <c r="E281" s="34" t="n"/>
    </row>
    <row r="282" ht="15" customHeight="1" s="35">
      <c r="C282" s="34" t="n"/>
      <c r="D282" s="34" t="n"/>
      <c r="E282" s="34" t="n"/>
    </row>
    <row r="283" ht="15" customHeight="1" s="35">
      <c r="C283" s="34" t="n"/>
      <c r="D283" s="34" t="n"/>
      <c r="E283" s="34" t="n"/>
    </row>
    <row r="284" ht="15" customHeight="1" s="35">
      <c r="C284" s="34" t="n"/>
      <c r="D284" s="34" t="n"/>
      <c r="E284" s="34" t="n"/>
    </row>
    <row r="285" ht="15" customHeight="1" s="35">
      <c r="C285" s="34" t="n"/>
      <c r="D285" s="34" t="n"/>
      <c r="E285" s="34" t="n"/>
    </row>
    <row r="286" ht="15" customHeight="1" s="35">
      <c r="C286" s="34" t="n"/>
      <c r="D286" s="34" t="n"/>
      <c r="E286" s="34" t="n"/>
    </row>
    <row r="287" ht="15" customHeight="1" s="35">
      <c r="C287" s="34" t="n"/>
      <c r="D287" s="34" t="n"/>
      <c r="E287" s="34" t="n"/>
    </row>
    <row r="288" ht="15" customHeight="1" s="35">
      <c r="C288" s="34" t="n"/>
      <c r="D288" s="34" t="n"/>
      <c r="E288" s="34" t="n"/>
    </row>
    <row r="289" ht="15" customHeight="1" s="35">
      <c r="C289" s="34" t="n"/>
      <c r="D289" s="34" t="n"/>
      <c r="E289" s="34" t="n"/>
    </row>
    <row r="290" ht="15" customHeight="1" s="35">
      <c r="C290" s="34" t="n"/>
      <c r="D290" s="34" t="n"/>
      <c r="E290" s="34" t="n"/>
    </row>
    <row r="291" ht="15" customHeight="1" s="35">
      <c r="C291" s="34" t="n"/>
      <c r="D291" s="34" t="n"/>
      <c r="E291" s="34" t="n"/>
    </row>
    <row r="292" ht="15" customHeight="1" s="35">
      <c r="C292" s="34" t="n"/>
      <c r="D292" s="34" t="n"/>
      <c r="E292" s="34" t="n"/>
    </row>
    <row r="293" ht="15" customHeight="1" s="35">
      <c r="C293" s="34" t="n"/>
      <c r="D293" s="34" t="n"/>
      <c r="E293" s="34" t="n"/>
    </row>
    <row r="294" ht="15" customHeight="1" s="35">
      <c r="C294" s="34" t="n"/>
      <c r="D294" s="34" t="n"/>
      <c r="E294" s="34" t="n"/>
    </row>
    <row r="295" ht="15" customHeight="1" s="35">
      <c r="C295" s="34" t="n"/>
      <c r="D295" s="34" t="n"/>
      <c r="E295" s="34" t="n"/>
    </row>
    <row r="296" ht="15" customHeight="1" s="35">
      <c r="C296" s="34" t="n"/>
      <c r="D296" s="34" t="n"/>
      <c r="E296" s="34" t="n"/>
    </row>
    <row r="297" ht="15" customHeight="1" s="35">
      <c r="C297" s="34" t="n"/>
      <c r="D297" s="34" t="n"/>
      <c r="E297" s="34" t="n"/>
    </row>
    <row r="298" ht="15" customHeight="1" s="35">
      <c r="C298" s="34" t="n"/>
      <c r="D298" s="34" t="n"/>
      <c r="E298" s="34" t="n"/>
    </row>
    <row r="299" ht="15" customHeight="1" s="35">
      <c r="C299" s="34" t="n"/>
      <c r="D299" s="34" t="n"/>
      <c r="E299" s="34" t="n"/>
    </row>
    <row r="300" ht="15" customHeight="1" s="35">
      <c r="C300" s="34" t="n"/>
      <c r="D300" s="34" t="n"/>
      <c r="E300" s="34" t="n"/>
    </row>
    <row r="301" ht="15" customHeight="1" s="35">
      <c r="C301" s="34" t="n"/>
      <c r="D301" s="34" t="n"/>
      <c r="E301" s="34" t="n"/>
    </row>
    <row r="302" ht="15" customHeight="1" s="35">
      <c r="C302" s="34" t="n"/>
      <c r="D302" s="34" t="n"/>
      <c r="E302" s="34" t="n"/>
    </row>
    <row r="303" ht="15" customHeight="1" s="35">
      <c r="C303" s="34" t="n"/>
      <c r="D303" s="34" t="n"/>
      <c r="E303" s="34" t="n"/>
    </row>
    <row r="304" ht="15" customHeight="1" s="35">
      <c r="C304" s="34" t="n"/>
      <c r="D304" s="34" t="n"/>
      <c r="E304" s="34" t="n"/>
    </row>
    <row r="305" ht="15" customHeight="1" s="35">
      <c r="C305" s="34" t="n"/>
      <c r="D305" s="34" t="n"/>
      <c r="E305" s="34" t="n"/>
    </row>
    <row r="306" ht="15" customHeight="1" s="35">
      <c r="C306" s="34" t="n"/>
      <c r="D306" s="34" t="n"/>
      <c r="E306" s="34" t="n"/>
    </row>
    <row r="307" ht="15" customHeight="1" s="35">
      <c r="C307" s="34" t="n"/>
      <c r="D307" s="34" t="n"/>
      <c r="E307" s="34" t="n"/>
    </row>
    <row r="308" ht="15" customHeight="1" s="35">
      <c r="C308" s="34" t="n"/>
      <c r="D308" s="34" t="n"/>
      <c r="E308" s="34" t="n"/>
    </row>
    <row r="309" ht="15" customHeight="1" s="35">
      <c r="C309" s="34" t="n"/>
      <c r="D309" s="34" t="n"/>
      <c r="E309" s="34" t="n"/>
    </row>
    <row r="310" ht="15" customHeight="1" s="35">
      <c r="C310" s="34" t="n"/>
      <c r="D310" s="34" t="n"/>
      <c r="E310" s="34" t="n"/>
    </row>
    <row r="311" ht="15" customHeight="1" s="35">
      <c r="C311" s="34" t="n"/>
      <c r="D311" s="34" t="n"/>
      <c r="E311" s="34" t="n"/>
    </row>
    <row r="312" ht="15" customHeight="1" s="35">
      <c r="C312" s="34" t="n"/>
      <c r="D312" s="34" t="n"/>
      <c r="E312" s="34" t="n"/>
    </row>
    <row r="313" ht="15" customHeight="1" s="35">
      <c r="C313" s="34" t="n"/>
      <c r="D313" s="34" t="n"/>
      <c r="E313" s="34" t="n"/>
    </row>
    <row r="314" ht="15" customHeight="1" s="35">
      <c r="C314" s="34" t="n"/>
      <c r="D314" s="34" t="n"/>
      <c r="E314" s="34" t="n"/>
    </row>
    <row r="315" ht="15" customHeight="1" s="35">
      <c r="C315" s="34" t="n"/>
      <c r="D315" s="34" t="n"/>
      <c r="E315" s="34" t="n"/>
    </row>
    <row r="316" ht="15" customHeight="1" s="35">
      <c r="C316" s="34" t="n"/>
      <c r="D316" s="34" t="n"/>
      <c r="E316" s="34" t="n"/>
    </row>
    <row r="317" ht="15" customHeight="1" s="35">
      <c r="C317" s="34" t="n"/>
      <c r="D317" s="34" t="n"/>
      <c r="E317" s="34" t="n"/>
    </row>
    <row r="318" ht="15" customHeight="1" s="35">
      <c r="C318" s="34" t="n"/>
      <c r="D318" s="34" t="n"/>
      <c r="E318" s="34" t="n"/>
    </row>
    <row r="319" ht="15" customHeight="1" s="35">
      <c r="C319" s="34" t="n"/>
      <c r="D319" s="34" t="n"/>
      <c r="E319" s="34" t="n"/>
    </row>
    <row r="320" ht="15" customHeight="1" s="35">
      <c r="C320" s="34" t="n"/>
      <c r="D320" s="34" t="n"/>
      <c r="E320" s="34" t="n"/>
    </row>
    <row r="321" ht="15" customHeight="1" s="35">
      <c r="C321" s="34" t="n"/>
      <c r="D321" s="34" t="n"/>
      <c r="E321" s="34" t="n"/>
    </row>
    <row r="322" ht="15" customHeight="1" s="35">
      <c r="C322" s="34" t="n"/>
      <c r="D322" s="34" t="n"/>
      <c r="E322" s="34" t="n"/>
    </row>
    <row r="323" ht="15" customHeight="1" s="35">
      <c r="C323" s="34" t="n"/>
      <c r="D323" s="34" t="n"/>
      <c r="E323" s="34" t="n"/>
    </row>
    <row r="324" ht="15" customHeight="1" s="35">
      <c r="C324" s="34" t="n"/>
      <c r="D324" s="34" t="n"/>
      <c r="E324" s="34" t="n"/>
    </row>
    <row r="325" ht="15" customHeight="1" s="35">
      <c r="C325" s="34" t="n"/>
      <c r="D325" s="34" t="n"/>
      <c r="E325" s="34" t="n"/>
    </row>
    <row r="326" ht="15" customHeight="1" s="35">
      <c r="C326" s="34" t="n"/>
      <c r="D326" s="34" t="n"/>
      <c r="E326" s="34" t="n"/>
    </row>
    <row r="327" ht="15" customHeight="1" s="35">
      <c r="C327" s="34" t="n"/>
      <c r="D327" s="34" t="n"/>
      <c r="E327" s="34" t="n"/>
    </row>
    <row r="328" ht="15" customHeight="1" s="35">
      <c r="C328" s="34" t="n"/>
      <c r="D328" s="34" t="n"/>
      <c r="E328" s="34" t="n"/>
    </row>
    <row r="329" ht="15" customHeight="1" s="35">
      <c r="C329" s="34" t="n"/>
      <c r="D329" s="34" t="n"/>
      <c r="E329" s="34" t="n"/>
    </row>
    <row r="330" ht="15" customHeight="1" s="35">
      <c r="C330" s="34" t="n"/>
      <c r="D330" s="34" t="n"/>
      <c r="E330" s="34" t="n"/>
    </row>
    <row r="331" ht="15" customHeight="1" s="35">
      <c r="C331" s="34" t="n"/>
      <c r="D331" s="34" t="n"/>
      <c r="E331" s="34" t="n"/>
    </row>
    <row r="332" ht="15" customHeight="1" s="35">
      <c r="C332" s="34" t="n"/>
      <c r="D332" s="34" t="n"/>
      <c r="E332" s="34" t="n"/>
    </row>
    <row r="333" ht="15" customHeight="1" s="35">
      <c r="C333" s="34" t="n"/>
      <c r="D333" s="34" t="n"/>
      <c r="E333" s="34" t="n"/>
    </row>
    <row r="334" ht="15" customHeight="1" s="35">
      <c r="C334" s="34" t="n"/>
      <c r="D334" s="34" t="n"/>
      <c r="E334" s="34" t="n"/>
    </row>
    <row r="335" ht="15" customHeight="1" s="35">
      <c r="C335" s="34" t="n"/>
      <c r="D335" s="34" t="n"/>
      <c r="E335" s="34" t="n"/>
    </row>
    <row r="336" ht="15" customHeight="1" s="35">
      <c r="C336" s="34" t="n"/>
      <c r="D336" s="34" t="n"/>
      <c r="E336" s="34" t="n"/>
    </row>
    <row r="337" ht="15" customHeight="1" s="35">
      <c r="C337" s="34" t="n"/>
      <c r="D337" s="34" t="n"/>
      <c r="E337" s="34" t="n"/>
    </row>
    <row r="338" ht="15" customHeight="1" s="35">
      <c r="C338" s="34" t="n"/>
      <c r="D338" s="34" t="n"/>
      <c r="E338" s="34" t="n"/>
    </row>
    <row r="339" ht="15" customHeight="1" s="35">
      <c r="C339" s="34" t="n"/>
      <c r="D339" s="34" t="n"/>
      <c r="E339" s="34" t="n"/>
    </row>
    <row r="340" ht="15" customHeight="1" s="35">
      <c r="C340" s="34" t="n"/>
      <c r="D340" s="34" t="n"/>
      <c r="E340" s="34" t="n"/>
    </row>
    <row r="341" ht="15" customHeight="1" s="35">
      <c r="C341" s="34" t="n"/>
      <c r="D341" s="34" t="n"/>
      <c r="E341" s="34" t="n"/>
    </row>
    <row r="342" ht="15" customHeight="1" s="35">
      <c r="C342" s="34" t="n"/>
      <c r="D342" s="34" t="n"/>
      <c r="E342" s="34" t="n"/>
    </row>
    <row r="343" ht="15" customHeight="1" s="35">
      <c r="C343" s="34" t="n"/>
      <c r="D343" s="34" t="n"/>
      <c r="E343" s="34" t="n"/>
    </row>
    <row r="344" ht="15" customHeight="1" s="35">
      <c r="C344" s="34" t="n"/>
      <c r="D344" s="34" t="n"/>
      <c r="E344" s="34" t="n"/>
    </row>
    <row r="345" ht="15" customHeight="1" s="35">
      <c r="C345" s="34" t="n"/>
      <c r="D345" s="34" t="n"/>
      <c r="E345" s="34" t="n"/>
    </row>
    <row r="346" ht="15" customHeight="1" s="35">
      <c r="C346" s="34" t="n"/>
      <c r="D346" s="34" t="n"/>
      <c r="E346" s="34" t="n"/>
    </row>
    <row r="347" ht="15" customHeight="1" s="35">
      <c r="C347" s="34" t="n"/>
      <c r="D347" s="34" t="n"/>
      <c r="E347" s="34" t="n"/>
    </row>
    <row r="348" ht="15" customHeight="1" s="35">
      <c r="C348" s="34" t="n"/>
      <c r="D348" s="34" t="n"/>
      <c r="E348" s="34" t="n"/>
    </row>
    <row r="349" ht="15" customHeight="1" s="35">
      <c r="C349" s="34" t="n"/>
      <c r="D349" s="34" t="n"/>
      <c r="E349" s="34" t="n"/>
    </row>
    <row r="350" ht="15" customHeight="1" s="35">
      <c r="C350" s="34" t="n"/>
      <c r="D350" s="34" t="n"/>
      <c r="E350" s="34" t="n"/>
    </row>
    <row r="351" ht="15" customHeight="1" s="35">
      <c r="C351" s="34" t="n"/>
      <c r="D351" s="34" t="n"/>
      <c r="E351" s="34" t="n"/>
    </row>
    <row r="352" ht="15" customHeight="1" s="35">
      <c r="C352" s="34" t="n"/>
      <c r="D352" s="34" t="n"/>
      <c r="E352" s="34" t="n"/>
    </row>
    <row r="353" ht="15" customHeight="1" s="35">
      <c r="C353" s="34" t="n"/>
      <c r="D353" s="34" t="n"/>
      <c r="E353" s="34" t="n"/>
    </row>
    <row r="354" ht="15" customHeight="1" s="35">
      <c r="C354" s="34" t="n"/>
      <c r="D354" s="34" t="n"/>
      <c r="E354" s="34" t="n"/>
    </row>
    <row r="355" ht="15" customHeight="1" s="35">
      <c r="C355" s="34" t="n"/>
      <c r="D355" s="34" t="n"/>
      <c r="E355" s="34" t="n"/>
    </row>
    <row r="356" ht="15" customHeight="1" s="35">
      <c r="C356" s="34" t="n"/>
      <c r="D356" s="34" t="n"/>
      <c r="E356" s="34" t="n"/>
    </row>
    <row r="357" ht="15" customHeight="1" s="35">
      <c r="C357" s="34" t="n"/>
      <c r="D357" s="34" t="n"/>
      <c r="E357" s="34" t="n"/>
    </row>
    <row r="358" ht="15" customHeight="1" s="35">
      <c r="C358" s="34" t="n"/>
      <c r="D358" s="34" t="n"/>
      <c r="E358" s="34" t="n"/>
    </row>
    <row r="359" ht="15" customHeight="1" s="35">
      <c r="C359" s="34" t="n"/>
      <c r="D359" s="34" t="n"/>
      <c r="E359" s="34" t="n"/>
    </row>
    <row r="360" ht="15" customHeight="1" s="35">
      <c r="C360" s="34" t="n"/>
      <c r="D360" s="34" t="n"/>
      <c r="E360" s="34" t="n"/>
    </row>
    <row r="361" ht="15" customHeight="1" s="35">
      <c r="C361" s="34" t="n"/>
      <c r="D361" s="34" t="n"/>
      <c r="E361" s="34" t="n"/>
    </row>
    <row r="362" ht="15" customHeight="1" s="35">
      <c r="C362" s="34" t="n"/>
      <c r="D362" s="34" t="n"/>
      <c r="E362" s="34" t="n"/>
    </row>
    <row r="363" ht="15" customHeight="1" s="35">
      <c r="C363" s="34" t="n"/>
      <c r="D363" s="34" t="n"/>
      <c r="E363" s="34" t="n"/>
    </row>
    <row r="364" ht="15" customHeight="1" s="35">
      <c r="C364" s="34" t="n"/>
      <c r="D364" s="34" t="n"/>
      <c r="E364" s="34" t="n"/>
    </row>
    <row r="365" ht="15" customHeight="1" s="35">
      <c r="C365" s="34" t="n"/>
      <c r="D365" s="34" t="n"/>
      <c r="E365" s="34" t="n"/>
    </row>
    <row r="366" ht="15" customHeight="1" s="35">
      <c r="C366" s="34" t="n"/>
      <c r="D366" s="34" t="n"/>
      <c r="E366" s="34" t="n"/>
    </row>
    <row r="367" ht="15" customHeight="1" s="35">
      <c r="C367" s="34" t="n"/>
      <c r="D367" s="34" t="n"/>
      <c r="E367" s="34" t="n"/>
    </row>
    <row r="368" ht="15" customHeight="1" s="35">
      <c r="C368" s="34" t="n"/>
      <c r="D368" s="34" t="n"/>
      <c r="E368" s="34" t="n"/>
    </row>
    <row r="369" ht="15" customHeight="1" s="35">
      <c r="C369" s="34" t="n"/>
      <c r="D369" s="34" t="n"/>
      <c r="E369" s="34" t="n"/>
    </row>
    <row r="370" ht="15" customHeight="1" s="35">
      <c r="C370" s="34" t="n"/>
      <c r="D370" s="34" t="n"/>
      <c r="E370" s="34" t="n"/>
    </row>
    <row r="371" ht="15" customHeight="1" s="35">
      <c r="C371" s="34" t="n"/>
      <c r="D371" s="34" t="n"/>
      <c r="E371" s="34" t="n"/>
    </row>
    <row r="372" ht="15" customHeight="1" s="35">
      <c r="C372" s="34" t="n"/>
      <c r="D372" s="34" t="n"/>
      <c r="E372" s="34" t="n"/>
    </row>
    <row r="373" ht="15" customHeight="1" s="35">
      <c r="C373" s="34" t="n"/>
      <c r="D373" s="34" t="n"/>
      <c r="E373" s="34" t="n"/>
    </row>
    <row r="374" ht="15" customHeight="1" s="35">
      <c r="C374" s="34" t="n"/>
      <c r="D374" s="34" t="n"/>
      <c r="E374" s="34" t="n"/>
    </row>
    <row r="375" ht="15" customHeight="1" s="35">
      <c r="C375" s="34" t="n"/>
      <c r="D375" s="34" t="n"/>
      <c r="E375" s="34" t="n"/>
    </row>
    <row r="376" ht="15" customHeight="1" s="35">
      <c r="C376" s="34" t="n"/>
      <c r="D376" s="34" t="n"/>
      <c r="E376" s="34" t="n"/>
    </row>
    <row r="377" ht="15" customHeight="1" s="35">
      <c r="C377" s="34" t="n"/>
      <c r="D377" s="34" t="n"/>
      <c r="E377" s="34" t="n"/>
    </row>
    <row r="378" ht="15" customHeight="1" s="35">
      <c r="C378" s="34" t="n"/>
      <c r="D378" s="34" t="n"/>
      <c r="E378" s="34" t="n"/>
    </row>
    <row r="379" ht="15" customHeight="1" s="35">
      <c r="C379" s="34" t="n"/>
      <c r="D379" s="34" t="n"/>
      <c r="E379" s="34" t="n"/>
    </row>
    <row r="380" ht="15" customHeight="1" s="35">
      <c r="C380" s="34" t="n"/>
      <c r="D380" s="34" t="n"/>
      <c r="E380" s="34" t="n"/>
    </row>
    <row r="381" ht="15" customHeight="1" s="35">
      <c r="C381" s="34" t="n"/>
      <c r="D381" s="34" t="n"/>
      <c r="E381" s="34" t="n"/>
    </row>
    <row r="382" ht="15" customHeight="1" s="35">
      <c r="C382" s="34" t="n"/>
      <c r="D382" s="34" t="n"/>
      <c r="E382" s="34" t="n"/>
    </row>
    <row r="383" ht="15" customHeight="1" s="35">
      <c r="C383" s="34" t="n"/>
      <c r="D383" s="34" t="n"/>
      <c r="E383" s="34" t="n"/>
    </row>
    <row r="384" ht="15" customHeight="1" s="35">
      <c r="C384" s="34" t="n"/>
      <c r="D384" s="34" t="n"/>
      <c r="E384" s="34" t="n"/>
    </row>
    <row r="385" ht="15" customHeight="1" s="35">
      <c r="C385" s="34" t="n"/>
      <c r="D385" s="34" t="n"/>
      <c r="E385" s="34" t="n"/>
    </row>
    <row r="386" ht="15" customHeight="1" s="35">
      <c r="C386" s="34" t="n"/>
      <c r="D386" s="34" t="n"/>
      <c r="E386" s="34" t="n"/>
    </row>
    <row r="387" ht="15" customHeight="1" s="35">
      <c r="C387" s="34" t="n"/>
      <c r="D387" s="34" t="n"/>
      <c r="E387" s="34" t="n"/>
    </row>
    <row r="388" ht="15" customHeight="1" s="35">
      <c r="C388" s="34" t="n"/>
      <c r="D388" s="34" t="n"/>
      <c r="E388" s="34" t="n"/>
    </row>
    <row r="389" ht="15" customHeight="1" s="35">
      <c r="C389" s="34" t="n"/>
      <c r="D389" s="34" t="n"/>
      <c r="E389" s="34" t="n"/>
    </row>
    <row r="390" ht="15" customHeight="1" s="35">
      <c r="C390" s="34" t="n"/>
      <c r="D390" s="34" t="n"/>
      <c r="E390" s="34" t="n"/>
    </row>
    <row r="391" ht="15" customHeight="1" s="35">
      <c r="C391" s="34" t="n"/>
      <c r="D391" s="34" t="n"/>
      <c r="E391" s="34" t="n"/>
    </row>
    <row r="392" ht="15" customHeight="1" s="35">
      <c r="C392" s="34" t="n"/>
      <c r="D392" s="34" t="n"/>
      <c r="E392" s="34" t="n"/>
    </row>
    <row r="393" ht="15" customHeight="1" s="35">
      <c r="C393" s="34" t="n"/>
      <c r="D393" s="34" t="n"/>
      <c r="E393" s="34" t="n"/>
    </row>
    <row r="394" ht="15" customHeight="1" s="35">
      <c r="C394" s="34" t="n"/>
      <c r="D394" s="34" t="n"/>
      <c r="E394" s="34" t="n"/>
    </row>
    <row r="395" ht="15" customHeight="1" s="35">
      <c r="C395" s="34" t="n"/>
      <c r="D395" s="34" t="n"/>
      <c r="E395" s="34" t="n"/>
    </row>
    <row r="396" ht="15" customHeight="1" s="35">
      <c r="C396" s="34" t="n"/>
      <c r="D396" s="34" t="n"/>
      <c r="E396" s="34" t="n"/>
    </row>
    <row r="397" ht="15" customHeight="1" s="35">
      <c r="C397" s="34" t="n"/>
      <c r="D397" s="34" t="n"/>
      <c r="E397" s="34" t="n"/>
    </row>
    <row r="398" ht="15" customHeight="1" s="35">
      <c r="C398" s="34" t="n"/>
      <c r="D398" s="34" t="n"/>
      <c r="E398" s="34" t="n"/>
    </row>
    <row r="399" ht="15" customHeight="1" s="35">
      <c r="C399" s="34" t="n"/>
      <c r="D399" s="34" t="n"/>
      <c r="E399" s="34" t="n"/>
    </row>
    <row r="400" ht="15" customHeight="1" s="35">
      <c r="C400" s="34" t="n"/>
      <c r="D400" s="34" t="n"/>
      <c r="E400" s="34" t="n"/>
    </row>
    <row r="401" ht="15" customHeight="1" s="35">
      <c r="C401" s="34" t="n"/>
      <c r="D401" s="34" t="n"/>
      <c r="E401" s="34" t="n"/>
    </row>
    <row r="402" ht="15" customHeight="1" s="35">
      <c r="C402" s="34" t="n"/>
      <c r="D402" s="34" t="n"/>
      <c r="E402" s="34" t="n"/>
    </row>
    <row r="403" ht="15" customHeight="1" s="35">
      <c r="C403" s="34" t="n"/>
      <c r="D403" s="34" t="n"/>
      <c r="E403" s="34" t="n"/>
    </row>
    <row r="404" ht="15" customHeight="1" s="35">
      <c r="C404" s="34" t="n"/>
      <c r="D404" s="34" t="n"/>
      <c r="E404" s="34" t="n"/>
    </row>
    <row r="405" ht="15" customHeight="1" s="35">
      <c r="C405" s="34" t="n"/>
      <c r="D405" s="34" t="n"/>
      <c r="E405" s="34" t="n"/>
    </row>
    <row r="406" ht="15" customHeight="1" s="35">
      <c r="C406" s="34" t="n"/>
      <c r="D406" s="34" t="n"/>
      <c r="E406" s="34" t="n"/>
    </row>
    <row r="407" ht="15" customHeight="1" s="35">
      <c r="C407" s="34" t="n"/>
      <c r="D407" s="34" t="n"/>
      <c r="E407" s="34" t="n"/>
    </row>
    <row r="408" ht="15" customHeight="1" s="35">
      <c r="C408" s="34" t="n"/>
      <c r="D408" s="34" t="n"/>
      <c r="E408" s="34" t="n"/>
    </row>
    <row r="409" ht="15" customHeight="1" s="35">
      <c r="C409" s="34" t="n"/>
      <c r="D409" s="34" t="n"/>
      <c r="E409" s="34" t="n"/>
    </row>
    <row r="410" ht="15" customHeight="1" s="35">
      <c r="C410" s="34" t="n"/>
      <c r="D410" s="34" t="n"/>
      <c r="E410" s="34" t="n"/>
    </row>
    <row r="411" ht="15" customHeight="1" s="35">
      <c r="C411" s="34" t="n"/>
      <c r="D411" s="34" t="n"/>
      <c r="E411" s="34" t="n"/>
    </row>
    <row r="412" ht="15" customHeight="1" s="35">
      <c r="C412" s="34" t="n"/>
      <c r="D412" s="34" t="n"/>
      <c r="E412" s="34" t="n"/>
    </row>
    <row r="413" ht="15" customHeight="1" s="35">
      <c r="C413" s="34" t="n"/>
      <c r="D413" s="34" t="n"/>
      <c r="E413" s="34" t="n"/>
    </row>
    <row r="414" ht="15" customHeight="1" s="35">
      <c r="C414" s="34" t="n"/>
      <c r="D414" s="34" t="n"/>
      <c r="E414" s="34" t="n"/>
    </row>
    <row r="415" ht="15" customHeight="1" s="35">
      <c r="C415" s="34" t="n"/>
      <c r="D415" s="34" t="n"/>
      <c r="E415" s="34" t="n"/>
    </row>
    <row r="416" ht="15" customHeight="1" s="35">
      <c r="C416" s="34" t="n"/>
      <c r="D416" s="34" t="n"/>
      <c r="E416" s="34" t="n"/>
    </row>
    <row r="417" ht="15" customHeight="1" s="35">
      <c r="C417" s="34" t="n"/>
      <c r="D417" s="34" t="n"/>
      <c r="E417" s="34" t="n"/>
    </row>
    <row r="418" ht="15" customHeight="1" s="35">
      <c r="C418" s="34" t="n"/>
      <c r="D418" s="34" t="n"/>
      <c r="E418" s="34" t="n"/>
    </row>
    <row r="419" ht="15" customHeight="1" s="35">
      <c r="C419" s="34" t="n"/>
      <c r="D419" s="34" t="n"/>
      <c r="E419" s="34" t="n"/>
    </row>
    <row r="420" ht="15" customHeight="1" s="35">
      <c r="C420" s="34" t="n"/>
      <c r="D420" s="34" t="n"/>
      <c r="E420" s="34" t="n"/>
    </row>
    <row r="421" ht="15" customHeight="1" s="35">
      <c r="C421" s="34" t="n"/>
      <c r="D421" s="34" t="n"/>
      <c r="E421" s="34" t="n"/>
    </row>
    <row r="422" ht="15" customHeight="1" s="35">
      <c r="C422" s="34" t="n"/>
      <c r="D422" s="34" t="n"/>
      <c r="E422" s="34" t="n"/>
    </row>
    <row r="423" ht="15" customHeight="1" s="35">
      <c r="C423" s="34" t="n"/>
      <c r="D423" s="34" t="n"/>
      <c r="E423" s="34" t="n"/>
    </row>
    <row r="424" ht="15" customHeight="1" s="35">
      <c r="C424" s="34" t="n"/>
      <c r="D424" s="34" t="n"/>
      <c r="E424" s="34" t="n"/>
    </row>
    <row r="425" ht="15" customHeight="1" s="35">
      <c r="C425" s="34" t="n"/>
      <c r="D425" s="34" t="n"/>
      <c r="E425" s="34" t="n"/>
    </row>
    <row r="426" ht="15" customHeight="1" s="35">
      <c r="C426" s="34" t="n"/>
      <c r="D426" s="34" t="n"/>
      <c r="E426" s="34" t="n"/>
    </row>
    <row r="427" ht="15" customHeight="1" s="35">
      <c r="C427" s="34" t="n"/>
      <c r="D427" s="34" t="n"/>
      <c r="E427" s="34" t="n"/>
    </row>
    <row r="428" ht="15" customHeight="1" s="35">
      <c r="C428" s="34" t="n"/>
      <c r="D428" s="34" t="n"/>
      <c r="E428" s="34" t="n"/>
    </row>
    <row r="429" ht="15" customHeight="1" s="35">
      <c r="C429" s="34" t="n"/>
      <c r="D429" s="34" t="n"/>
      <c r="E429" s="34" t="n"/>
    </row>
    <row r="430" ht="15" customHeight="1" s="35">
      <c r="C430" s="34" t="n"/>
      <c r="D430" s="34" t="n"/>
      <c r="E430" s="34" t="n"/>
    </row>
    <row r="431" ht="15" customHeight="1" s="35">
      <c r="C431" s="34" t="n"/>
      <c r="D431" s="34" t="n"/>
      <c r="E431" s="34" t="n"/>
    </row>
    <row r="432" ht="15" customHeight="1" s="35">
      <c r="C432" s="34" t="n"/>
      <c r="D432" s="34" t="n"/>
      <c r="E432" s="34" t="n"/>
    </row>
    <row r="433" ht="15" customHeight="1" s="35">
      <c r="C433" s="34" t="n"/>
      <c r="D433" s="34" t="n"/>
      <c r="E433" s="34" t="n"/>
    </row>
    <row r="434" ht="15" customHeight="1" s="35">
      <c r="C434" s="34" t="n"/>
      <c r="D434" s="34" t="n"/>
      <c r="E434" s="34" t="n"/>
    </row>
    <row r="435" ht="15" customHeight="1" s="35">
      <c r="C435" s="34" t="n"/>
      <c r="D435" s="34" t="n"/>
      <c r="E435" s="34" t="n"/>
    </row>
    <row r="436" ht="15" customHeight="1" s="35">
      <c r="C436" s="34" t="n"/>
      <c r="D436" s="34" t="n"/>
      <c r="E436" s="34" t="n"/>
    </row>
    <row r="437" ht="15" customHeight="1" s="35">
      <c r="C437" s="34" t="n"/>
      <c r="D437" s="34" t="n"/>
      <c r="E437" s="34" t="n"/>
    </row>
    <row r="438" ht="15" customHeight="1" s="35">
      <c r="C438" s="34" t="n"/>
      <c r="D438" s="34" t="n"/>
      <c r="E438" s="34" t="n"/>
    </row>
    <row r="439" ht="15" customHeight="1" s="35">
      <c r="C439" s="34" t="n"/>
      <c r="D439" s="34" t="n"/>
      <c r="E439" s="34" t="n"/>
    </row>
    <row r="440" ht="15" customHeight="1" s="35">
      <c r="C440" s="34" t="n"/>
      <c r="D440" s="34" t="n"/>
      <c r="E440" s="34" t="n"/>
    </row>
    <row r="441" ht="15" customHeight="1" s="35">
      <c r="C441" s="34" t="n"/>
      <c r="D441" s="34" t="n"/>
      <c r="E441" s="34" t="n"/>
    </row>
    <row r="442" ht="15" customHeight="1" s="35">
      <c r="C442" s="34" t="n"/>
      <c r="D442" s="34" t="n"/>
      <c r="E442" s="34" t="n"/>
    </row>
    <row r="443" ht="15" customHeight="1" s="35">
      <c r="C443" s="34" t="n"/>
      <c r="D443" s="34" t="n"/>
      <c r="E443" s="34" t="n"/>
    </row>
    <row r="444" ht="15" customHeight="1" s="35">
      <c r="C444" s="34" t="n"/>
      <c r="D444" s="34" t="n"/>
      <c r="E444" s="34" t="n"/>
    </row>
    <row r="445" ht="15" customHeight="1" s="35">
      <c r="C445" s="34" t="n"/>
      <c r="D445" s="34" t="n"/>
      <c r="E445" s="34" t="n"/>
    </row>
    <row r="446" ht="15" customHeight="1" s="35">
      <c r="C446" s="34" t="n"/>
      <c r="D446" s="34" t="n"/>
      <c r="E446" s="34" t="n"/>
    </row>
    <row r="447" ht="15" customHeight="1" s="35">
      <c r="C447" s="34" t="n"/>
      <c r="D447" s="34" t="n"/>
      <c r="E447" s="34" t="n"/>
    </row>
    <row r="448" ht="15" customHeight="1" s="35">
      <c r="C448" s="34" t="n"/>
      <c r="D448" s="34" t="n"/>
      <c r="E448" s="34" t="n"/>
    </row>
    <row r="449" ht="15" customHeight="1" s="35">
      <c r="C449" s="34" t="n"/>
      <c r="D449" s="34" t="n"/>
      <c r="E449" s="34" t="n"/>
    </row>
    <row r="450" ht="15" customHeight="1" s="35">
      <c r="C450" s="34" t="n"/>
      <c r="D450" s="34" t="n"/>
      <c r="E450" s="34" t="n"/>
    </row>
    <row r="451" ht="15" customHeight="1" s="35">
      <c r="C451" s="34" t="n"/>
      <c r="D451" s="34" t="n"/>
      <c r="E451" s="34" t="n"/>
    </row>
    <row r="452" ht="15" customHeight="1" s="35">
      <c r="C452" s="34" t="n"/>
      <c r="D452" s="34" t="n"/>
      <c r="E452" s="34" t="n"/>
    </row>
    <row r="453" ht="15" customHeight="1" s="35">
      <c r="C453" s="34" t="n"/>
      <c r="D453" s="34" t="n"/>
      <c r="E453" s="34" t="n"/>
    </row>
    <row r="454" ht="15" customHeight="1" s="35">
      <c r="C454" s="34" t="n"/>
      <c r="D454" s="34" t="n"/>
      <c r="E454" s="34" t="n"/>
    </row>
    <row r="455" ht="15" customHeight="1" s="35">
      <c r="C455" s="34" t="n"/>
      <c r="D455" s="34" t="n"/>
      <c r="E455" s="34" t="n"/>
    </row>
    <row r="456" ht="15" customHeight="1" s="35">
      <c r="C456" s="34" t="n"/>
      <c r="D456" s="34" t="n"/>
      <c r="E456" s="34" t="n"/>
    </row>
    <row r="457" ht="15" customHeight="1" s="35">
      <c r="C457" s="34" t="n"/>
      <c r="D457" s="34" t="n"/>
      <c r="E457" s="34" t="n"/>
    </row>
    <row r="458" ht="15" customHeight="1" s="35">
      <c r="C458" s="34" t="n"/>
      <c r="D458" s="34" t="n"/>
      <c r="E458" s="34" t="n"/>
    </row>
    <row r="459" ht="15" customHeight="1" s="35">
      <c r="C459" s="34" t="n"/>
      <c r="D459" s="34" t="n"/>
      <c r="E459" s="34" t="n"/>
    </row>
    <row r="460" ht="15" customHeight="1" s="35">
      <c r="C460" s="34" t="n"/>
      <c r="D460" s="34" t="n"/>
      <c r="E460" s="34" t="n"/>
    </row>
    <row r="461" ht="15" customHeight="1" s="35">
      <c r="C461" s="34" t="n"/>
      <c r="D461" s="34" t="n"/>
      <c r="E461" s="34" t="n"/>
    </row>
    <row r="462" ht="15" customHeight="1" s="35">
      <c r="C462" s="34" t="n"/>
      <c r="D462" s="34" t="n"/>
      <c r="E462" s="34" t="n"/>
    </row>
    <row r="463" ht="15" customHeight="1" s="35">
      <c r="C463" s="34" t="n"/>
      <c r="D463" s="34" t="n"/>
      <c r="E463" s="34" t="n"/>
    </row>
    <row r="464" ht="15" customHeight="1" s="35">
      <c r="C464" s="34" t="n"/>
      <c r="D464" s="34" t="n"/>
      <c r="E464" s="34" t="n"/>
    </row>
    <row r="465" ht="15" customHeight="1" s="35">
      <c r="C465" s="34" t="n"/>
      <c r="D465" s="34" t="n"/>
      <c r="E465" s="34" t="n"/>
    </row>
    <row r="466" ht="15" customHeight="1" s="35">
      <c r="C466" s="34" t="n"/>
      <c r="D466" s="34" t="n"/>
      <c r="E466" s="34" t="n"/>
    </row>
    <row r="467" ht="15" customHeight="1" s="35">
      <c r="C467" s="34" t="n"/>
      <c r="D467" s="34" t="n"/>
      <c r="E467" s="34" t="n"/>
    </row>
    <row r="468" ht="15" customHeight="1" s="35">
      <c r="C468" s="34" t="n"/>
      <c r="D468" s="34" t="n"/>
      <c r="E468" s="34" t="n"/>
    </row>
    <row r="469" ht="15" customHeight="1" s="35">
      <c r="C469" s="34" t="n"/>
      <c r="D469" s="34" t="n"/>
      <c r="E469" s="34" t="n"/>
    </row>
    <row r="470" ht="15" customHeight="1" s="35">
      <c r="C470" s="34" t="n"/>
      <c r="D470" s="34" t="n"/>
      <c r="E470" s="34" t="n"/>
    </row>
    <row r="471" ht="15" customHeight="1" s="35">
      <c r="C471" s="34" t="n"/>
      <c r="D471" s="34" t="n"/>
      <c r="E471" s="34" t="n"/>
    </row>
    <row r="472" ht="15" customHeight="1" s="35">
      <c r="C472" s="34" t="n"/>
      <c r="D472" s="34" t="n"/>
      <c r="E472" s="34" t="n"/>
    </row>
    <row r="473" ht="15" customHeight="1" s="35">
      <c r="C473" s="34" t="n"/>
      <c r="D473" s="34" t="n"/>
      <c r="E473" s="34" t="n"/>
    </row>
    <row r="474" ht="15" customHeight="1" s="35">
      <c r="C474" s="34" t="n"/>
      <c r="D474" s="34" t="n"/>
      <c r="E474" s="34" t="n"/>
    </row>
    <row r="475" ht="15" customHeight="1" s="35">
      <c r="C475" s="34" t="n"/>
      <c r="D475" s="34" t="n"/>
      <c r="E475" s="34" t="n"/>
    </row>
    <row r="476" ht="15" customHeight="1" s="35">
      <c r="C476" s="34" t="n"/>
      <c r="D476" s="34" t="n"/>
      <c r="E476" s="34" t="n"/>
    </row>
    <row r="477" ht="15" customHeight="1" s="35">
      <c r="C477" s="34" t="n"/>
      <c r="D477" s="34" t="n"/>
      <c r="E477" s="34" t="n"/>
    </row>
    <row r="478" ht="15" customHeight="1" s="35">
      <c r="C478" s="34" t="n"/>
      <c r="D478" s="34" t="n"/>
      <c r="E478" s="34" t="n"/>
    </row>
    <row r="479" ht="15" customHeight="1" s="35">
      <c r="C479" s="34" t="n"/>
      <c r="D479" s="34" t="n"/>
      <c r="E479" s="34" t="n"/>
    </row>
    <row r="480" ht="15" customHeight="1" s="35">
      <c r="C480" s="34" t="n"/>
      <c r="D480" s="34" t="n"/>
      <c r="E480" s="34" t="n"/>
    </row>
    <row r="481" ht="15" customHeight="1" s="35">
      <c r="C481" s="34" t="n"/>
      <c r="D481" s="34" t="n"/>
      <c r="E481" s="34" t="n"/>
    </row>
    <row r="482" ht="15" customHeight="1" s="35">
      <c r="C482" s="34" t="n"/>
      <c r="D482" s="34" t="n"/>
      <c r="E482" s="34" t="n"/>
    </row>
    <row r="483" ht="15" customHeight="1" s="35">
      <c r="C483" s="34" t="n"/>
      <c r="D483" s="34" t="n"/>
      <c r="E483" s="34" t="n"/>
    </row>
    <row r="484" ht="15" customHeight="1" s="35">
      <c r="C484" s="34" t="n"/>
      <c r="D484" s="34" t="n"/>
      <c r="E484" s="34" t="n"/>
    </row>
    <row r="485" ht="15" customHeight="1" s="35">
      <c r="C485" s="34" t="n"/>
      <c r="D485" s="34" t="n"/>
      <c r="E485" s="34" t="n"/>
    </row>
    <row r="486" ht="15" customHeight="1" s="35">
      <c r="C486" s="34" t="n"/>
      <c r="D486" s="34" t="n"/>
      <c r="E486" s="34" t="n"/>
    </row>
    <row r="487" ht="15" customHeight="1" s="35">
      <c r="C487" s="34" t="n"/>
      <c r="D487" s="34" t="n"/>
      <c r="E487" s="34" t="n"/>
    </row>
    <row r="488" ht="15" customHeight="1" s="35">
      <c r="C488" s="34" t="n"/>
      <c r="D488" s="34" t="n"/>
      <c r="E488" s="34" t="n"/>
    </row>
    <row r="489" ht="15" customHeight="1" s="35">
      <c r="C489" s="34" t="n"/>
      <c r="D489" s="34" t="n"/>
      <c r="E489" s="34" t="n"/>
    </row>
    <row r="490" ht="15" customHeight="1" s="35">
      <c r="C490" s="34" t="n"/>
      <c r="D490" s="34" t="n"/>
      <c r="E490" s="34" t="n"/>
    </row>
    <row r="491" ht="15" customHeight="1" s="35">
      <c r="C491" s="34" t="n"/>
      <c r="D491" s="34" t="n"/>
      <c r="E491" s="34" t="n"/>
    </row>
    <row r="492" ht="15" customHeight="1" s="35">
      <c r="C492" s="34" t="n"/>
      <c r="D492" s="34" t="n"/>
      <c r="E492" s="34" t="n"/>
    </row>
    <row r="493" ht="15" customHeight="1" s="35">
      <c r="C493" s="34" t="n"/>
      <c r="D493" s="34" t="n"/>
      <c r="E493" s="34" t="n"/>
    </row>
    <row r="494" ht="15" customHeight="1" s="35">
      <c r="C494" s="34" t="n"/>
      <c r="D494" s="34" t="n"/>
      <c r="E494" s="34" t="n"/>
    </row>
    <row r="495" ht="15" customHeight="1" s="35">
      <c r="C495" s="34" t="n"/>
      <c r="D495" s="34" t="n"/>
      <c r="E495" s="34" t="n"/>
    </row>
    <row r="496" ht="15" customHeight="1" s="35">
      <c r="C496" s="34" t="n"/>
      <c r="D496" s="34" t="n"/>
      <c r="E496" s="34" t="n"/>
    </row>
    <row r="497" ht="15" customHeight="1" s="35">
      <c r="C497" s="34" t="n"/>
      <c r="D497" s="34" t="n"/>
      <c r="E497" s="34" t="n"/>
    </row>
    <row r="498" ht="15" customHeight="1" s="35">
      <c r="C498" s="34" t="n"/>
      <c r="D498" s="34" t="n"/>
      <c r="E498" s="34" t="n"/>
    </row>
    <row r="499" ht="15" customHeight="1" s="35">
      <c r="C499" s="34" t="n"/>
      <c r="D499" s="34" t="n"/>
      <c r="E499" s="34" t="n"/>
    </row>
    <row r="500" ht="15" customHeight="1" s="35">
      <c r="C500" s="34" t="n"/>
      <c r="D500" s="34" t="n"/>
      <c r="E500" s="34" t="n"/>
    </row>
  </sheetData>
  <dataValidations count="3">
    <dataValidation sqref="C12:C500" showDropDown="0" showInputMessage="0" showErrorMessage="0" allowBlank="1" type="list" errorStyle="stop" operator="between">
      <formula1>"No iniciado,En progreso,Parcial,Terminado,Bloqueado,Descartado,Por verificar"</formula1>
      <formula2>0</formula2>
    </dataValidation>
    <dataValidation sqref="D12:D500" showDropDown="0" showInputMessage="0" showErrorMessage="0" allowBlank="1" type="list" errorStyle="stop" operator="between">
      <formula1>"No iniciado,En progreso,Parcial,Terminado,Bloqueado,Descartado,Por verificar"</formula1>
      <formula2>0</formula2>
    </dataValidation>
    <dataValidation sqref="E12:E500" showDropDown="0" showInputMessage="0" showErrorMessage="0" allowBlank="1" type="list" errorStyle="stop" operator="between">
      <formula1>"Luis,Elizabeth,Miguel,Equipo,Agente (Claude Code)"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C9CEE3"/>
    <outlinePr summaryBelow="1" summaryRight="1"/>
    <pageSetUpPr fitToPage="0"/>
  </sheetPr>
  <dimension ref="A1:C1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34" min="1" max="1"/>
    <col width="24" customWidth="1" style="34" min="2" max="2"/>
    <col width="80" customWidth="1" style="34" min="3" max="3"/>
  </cols>
  <sheetData>
    <row r="1" ht="17.25" customHeight="1" s="35">
      <c r="A1" s="36" t="inlineStr">
        <is>
          <t>Cómo usar este archivo</t>
        </is>
      </c>
    </row>
    <row r="3" ht="15" customHeight="1" s="35">
      <c r="A3" s="49" t="inlineStr">
        <is>
          <t>Estado</t>
        </is>
      </c>
      <c r="B3" s="58" t="inlineStr">
        <is>
          <t>No iniciado</t>
        </is>
      </c>
      <c r="C3" s="59" t="inlineStr">
        <is>
          <t>Nadie ha empezado.</t>
        </is>
      </c>
    </row>
    <row r="4" ht="15" customHeight="1" s="35">
      <c r="A4" s="49" t="n"/>
      <c r="B4" s="60" t="inlineStr">
        <is>
          <t>En progreso</t>
        </is>
      </c>
      <c r="C4" s="59" t="inlineStr">
        <is>
          <t>Alguien está trabajando en esto ahora (anote el responsable).</t>
        </is>
      </c>
    </row>
    <row r="5" ht="15" customHeight="1" s="35">
      <c r="A5" s="49" t="n"/>
      <c r="B5" s="61" t="inlineStr">
        <is>
          <t>Parcial</t>
        </is>
      </c>
      <c r="C5" s="59" t="inlineStr">
        <is>
          <t>Existe una parte; la fila explica qué falta.</t>
        </is>
      </c>
    </row>
    <row r="6" ht="15" customHeight="1" s="35">
      <c r="A6" s="49" t="n"/>
      <c r="B6" s="62" t="inlineStr">
        <is>
          <t>Terminado</t>
        </is>
      </c>
      <c r="C6" s="59" t="inlineStr">
        <is>
          <t>Hecho y verificado. Anote la evidencia en la Bitácora.</t>
        </is>
      </c>
    </row>
    <row r="7" ht="15" customHeight="1" s="35">
      <c r="A7" s="49" t="n"/>
      <c r="B7" s="63" t="inlineStr">
        <is>
          <t>Bloqueado</t>
        </is>
      </c>
      <c r="C7" s="59" t="inlineStr">
        <is>
          <t>No se puede avanzar hasta que se resuelva otra cosa (anótela en Notas).</t>
        </is>
      </c>
    </row>
    <row r="8" ht="15" customHeight="1" s="35">
      <c r="A8" s="49" t="n"/>
      <c r="B8" s="64" t="inlineStr">
        <is>
          <t>Descartado</t>
        </is>
      </c>
      <c r="C8" s="59" t="inlineStr">
        <is>
          <t>Se decidió no hacerlo; la fila dice por qué.</t>
        </is>
      </c>
    </row>
    <row r="9" ht="15" customHeight="1" s="35">
      <c r="A9" s="49" t="n"/>
      <c r="B9" s="65" t="inlineStr">
        <is>
          <t>Por verificar</t>
        </is>
      </c>
      <c r="C9" s="59" t="inlineStr">
        <is>
          <t>Puede estar hecho, pero hay que comprobarlo (por ejemplo, en producción).</t>
        </is>
      </c>
    </row>
    <row r="10" ht="15" customHeight="1" s="35">
      <c r="A10" s="49" t="inlineStr">
        <is>
          <t>Tipo</t>
        </is>
      </c>
      <c r="B10" s="59" t="inlineStr">
        <is>
          <t>Pendiente del plan</t>
        </is>
      </c>
      <c r="C10" s="59" t="inlineStr">
        <is>
          <t>Algo que el plan proponía hacer.</t>
        </is>
      </c>
    </row>
    <row r="11" ht="15" customHeight="1" s="35">
      <c r="A11" s="49" t="n"/>
      <c r="B11" s="59" t="inlineStr">
        <is>
          <t>Observación / defecto</t>
        </is>
      </c>
      <c r="C11" s="59" t="inlineStr">
        <is>
          <t>Un problema que el plan encontró de pasada, sin corregir.</t>
        </is>
      </c>
    </row>
    <row r="12" ht="15" customHeight="1" s="35">
      <c r="A12" s="49" t="n"/>
      <c r="B12" s="59" t="inlineStr">
        <is>
          <t>Trabajo futuro</t>
        </is>
      </c>
      <c r="C12" s="59" t="inlineStr">
        <is>
          <t>Idea para después del lanzamiento o de la entrega académica.</t>
        </is>
      </c>
    </row>
    <row r="13" ht="15" customHeight="1" s="35">
      <c r="A13" s="49" t="n"/>
      <c r="B13" s="59" t="inlineStr">
        <is>
          <t>Decisión pendiente</t>
        </is>
      </c>
      <c r="C13" s="59" t="inlineStr">
        <is>
          <t>Hace falta que el equipo decida antes de implementar.</t>
        </is>
      </c>
    </row>
    <row r="14" ht="15" customHeight="1" s="35">
      <c r="A14" s="49" t="n"/>
      <c r="B14" s="59" t="inlineStr">
        <is>
          <t>Mantenimiento de docs</t>
        </is>
      </c>
      <c r="C14" s="59" t="inlineStr">
        <is>
          <t>El documento del plan quedó desactualizado frente al código.</t>
        </is>
      </c>
    </row>
    <row r="15" ht="15" customHeight="1" s="35">
      <c r="A15" s="49" t="inlineStr">
        <is>
          <t>ID</t>
        </is>
      </c>
      <c r="B15" s="59" t="inlineStr">
        <is>
          <t>P19-03</t>
        </is>
      </c>
      <c r="C15" s="59" t="inlineStr">
        <is>
          <t>Plan 19, tercer pendiente. Las filas nuevas pueden seguir la misma regla.</t>
        </is>
      </c>
    </row>
    <row r="16" ht="15" customHeight="1" s="35">
      <c r="A16" s="49" t="inlineStr">
        <is>
          <t>Días sin actualizar</t>
        </is>
      </c>
      <c r="B16" s="59" t="inlineStr">
        <is>
          <t>Fórmula</t>
        </is>
      </c>
      <c r="C16" s="59" t="inlineStr">
        <is>
          <t>Días desde la última actualización; sirve para ver lo que quedó olvidado.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2026-10-04T03:12:55Z</dcterms:created>
  <dcterms:modified xmlns:dcterms="http://purl.org/dc/terms/" xmlns:xsi="http://www.w3.org/2001/XMLSchema-instance" xsi:type="dcterms:W3CDTF">2026-10-10T03:26:32Z</dcterms:modified>
  <cp:revision>0</cp:revision>
</cp:coreProperties>
</file>